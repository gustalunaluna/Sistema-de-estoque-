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FICHA TECNICA\"/>
    </mc:Choice>
  </mc:AlternateContent>
  <xr:revisionPtr revIDLastSave="0" documentId="13_ncr:1_{2A0BA2CB-615A-45EF-81F7-24AD4AF22114}" xr6:coauthVersionLast="47" xr6:coauthVersionMax="47" xr10:uidLastSave="{00000000-0000-0000-0000-000000000000}"/>
  <bookViews>
    <workbookView xWindow="-120" yWindow="-120" windowWidth="20730" windowHeight="11040" xr2:uid="{9B27B78B-9A53-46ED-9AF2-0F1655902E44}"/>
  </bookViews>
  <sheets>
    <sheet name="KIT SENAC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2" i="1" l="1"/>
  <c r="G87" i="1" l="1"/>
  <c r="I16" i="1"/>
  <c r="A162" i="1" l="1"/>
  <c r="C177" i="1" l="1"/>
  <c r="B393" i="1"/>
  <c r="A393" i="1"/>
  <c r="J392" i="1"/>
  <c r="G392" i="1"/>
  <c r="B392" i="1"/>
  <c r="A392" i="1"/>
  <c r="G391" i="1"/>
  <c r="B391" i="1"/>
  <c r="A391" i="1"/>
  <c r="B377" i="1"/>
  <c r="A377" i="1"/>
  <c r="J376" i="1"/>
  <c r="G376" i="1"/>
  <c r="B376" i="1"/>
  <c r="A376" i="1"/>
  <c r="G375" i="1"/>
  <c r="B375" i="1"/>
  <c r="A375" i="1"/>
  <c r="H370" i="1"/>
  <c r="C370" i="1"/>
  <c r="B370" i="1"/>
  <c r="A370" i="1"/>
  <c r="H369" i="1"/>
  <c r="C369" i="1"/>
  <c r="B369" i="1"/>
  <c r="A369" i="1"/>
  <c r="H368" i="1"/>
  <c r="C368" i="1"/>
  <c r="B368" i="1"/>
  <c r="A368" i="1"/>
  <c r="H367" i="1"/>
  <c r="C367" i="1"/>
  <c r="B367" i="1"/>
  <c r="A367" i="1"/>
  <c r="H366" i="1"/>
  <c r="C366" i="1"/>
  <c r="B366" i="1"/>
  <c r="A366" i="1"/>
  <c r="H365" i="1"/>
  <c r="C365" i="1"/>
  <c r="B365" i="1"/>
  <c r="A365" i="1"/>
  <c r="H364" i="1"/>
  <c r="C364" i="1"/>
  <c r="B364" i="1"/>
  <c r="A364" i="1"/>
  <c r="H363" i="1"/>
  <c r="C363" i="1"/>
  <c r="B363" i="1"/>
  <c r="A363" i="1"/>
  <c r="H362" i="1"/>
  <c r="C362" i="1"/>
  <c r="B362" i="1"/>
  <c r="A362" i="1"/>
  <c r="H361" i="1"/>
  <c r="C361" i="1"/>
  <c r="B361" i="1"/>
  <c r="A361" i="1"/>
  <c r="H360" i="1"/>
  <c r="C360" i="1"/>
  <c r="B360" i="1"/>
  <c r="A360" i="1"/>
  <c r="H359" i="1"/>
  <c r="C359" i="1"/>
  <c r="B359" i="1"/>
  <c r="A359" i="1"/>
  <c r="H358" i="1"/>
  <c r="C358" i="1"/>
  <c r="B358" i="1"/>
  <c r="A358" i="1"/>
  <c r="H357" i="1"/>
  <c r="C357" i="1"/>
  <c r="B357" i="1"/>
  <c r="A357" i="1"/>
  <c r="H356" i="1"/>
  <c r="C356" i="1"/>
  <c r="B356" i="1"/>
  <c r="A356" i="1"/>
  <c r="H355" i="1"/>
  <c r="C355" i="1"/>
  <c r="B355" i="1"/>
  <c r="A355" i="1"/>
  <c r="H354" i="1"/>
  <c r="C354" i="1"/>
  <c r="B354" i="1"/>
  <c r="A354" i="1"/>
  <c r="H353" i="1"/>
  <c r="C353" i="1"/>
  <c r="B353" i="1"/>
  <c r="A353" i="1"/>
  <c r="H352" i="1"/>
  <c r="C352" i="1"/>
  <c r="B352" i="1"/>
  <c r="A352" i="1"/>
  <c r="H351" i="1"/>
  <c r="C351" i="1"/>
  <c r="B351" i="1"/>
  <c r="A351" i="1"/>
  <c r="H350" i="1"/>
  <c r="C350" i="1"/>
  <c r="B350" i="1"/>
  <c r="A350" i="1"/>
  <c r="H349" i="1"/>
  <c r="C349" i="1"/>
  <c r="B349" i="1"/>
  <c r="A349" i="1"/>
  <c r="H348" i="1"/>
  <c r="C348" i="1"/>
  <c r="B348" i="1"/>
  <c r="A348" i="1"/>
  <c r="H347" i="1"/>
  <c r="C347" i="1"/>
  <c r="B347" i="1"/>
  <c r="A347" i="1"/>
  <c r="H346" i="1"/>
  <c r="C346" i="1"/>
  <c r="B346" i="1"/>
  <c r="A346" i="1"/>
  <c r="H345" i="1"/>
  <c r="C345" i="1"/>
  <c r="B345" i="1"/>
  <c r="A345" i="1"/>
  <c r="H344" i="1"/>
  <c r="C344" i="1"/>
  <c r="B344" i="1"/>
  <c r="A344" i="1"/>
  <c r="H343" i="1"/>
  <c r="C343" i="1"/>
  <c r="A343" i="1"/>
  <c r="H342" i="1"/>
  <c r="C342" i="1"/>
  <c r="B342" i="1"/>
  <c r="A342" i="1"/>
  <c r="H341" i="1"/>
  <c r="C341" i="1"/>
  <c r="B341" i="1"/>
  <c r="A341" i="1"/>
  <c r="H340" i="1"/>
  <c r="C340" i="1"/>
  <c r="B340" i="1"/>
  <c r="A340" i="1"/>
  <c r="H339" i="1"/>
  <c r="C339" i="1"/>
  <c r="B339" i="1"/>
  <c r="A339" i="1"/>
  <c r="H338" i="1"/>
  <c r="C338" i="1"/>
  <c r="B338" i="1"/>
  <c r="A338" i="1"/>
  <c r="H337" i="1"/>
  <c r="C337" i="1"/>
  <c r="B337" i="1"/>
  <c r="A337" i="1"/>
  <c r="B329" i="1"/>
  <c r="A329" i="1"/>
  <c r="J328" i="1"/>
  <c r="G328" i="1"/>
  <c r="B328" i="1"/>
  <c r="A328" i="1"/>
  <c r="J327" i="1"/>
  <c r="G327" i="1"/>
  <c r="B327" i="1"/>
  <c r="A327" i="1"/>
  <c r="A323" i="1"/>
  <c r="A312" i="1"/>
  <c r="F302" i="1"/>
  <c r="B299" i="1"/>
  <c r="A299" i="1"/>
  <c r="J298" i="1"/>
  <c r="G298" i="1"/>
  <c r="B298" i="1"/>
  <c r="A298" i="1"/>
  <c r="G297" i="1"/>
  <c r="B297" i="1"/>
  <c r="A297" i="1"/>
  <c r="B271" i="1"/>
  <c r="A271" i="1"/>
  <c r="J270" i="1"/>
  <c r="G270" i="1"/>
  <c r="B270" i="1"/>
  <c r="A270" i="1"/>
  <c r="J269" i="1"/>
  <c r="G269" i="1"/>
  <c r="B269" i="1"/>
  <c r="A269" i="1"/>
  <c r="C274" i="1"/>
  <c r="B249" i="1"/>
  <c r="A249" i="1"/>
  <c r="J248" i="1"/>
  <c r="G248" i="1"/>
  <c r="B248" i="1"/>
  <c r="A248" i="1"/>
  <c r="G247" i="1"/>
  <c r="B247" i="1"/>
  <c r="A247" i="1"/>
  <c r="A242" i="1"/>
  <c r="F201" i="1"/>
  <c r="A201" i="1"/>
  <c r="F199" i="1"/>
  <c r="B199" i="1"/>
  <c r="A199" i="1"/>
  <c r="B195" i="1"/>
  <c r="A195" i="1"/>
  <c r="F193" i="1"/>
  <c r="B193" i="1"/>
  <c r="A193" i="1"/>
  <c r="A191" i="1"/>
  <c r="F189" i="1"/>
  <c r="A189" i="1"/>
  <c r="L181" i="1"/>
  <c r="K181" i="1"/>
  <c r="F181" i="1"/>
  <c r="D181" i="1"/>
  <c r="C181" i="1"/>
  <c r="A181" i="1"/>
  <c r="L179" i="1"/>
  <c r="K179" i="1"/>
  <c r="F179" i="1"/>
  <c r="D179" i="1"/>
  <c r="C179" i="1"/>
  <c r="A179" i="1"/>
  <c r="L177" i="1"/>
  <c r="K177" i="1"/>
  <c r="F177" i="1"/>
  <c r="D177" i="1"/>
  <c r="A177" i="1"/>
  <c r="L175" i="1"/>
  <c r="K175" i="1"/>
  <c r="F175" i="1"/>
  <c r="D175" i="1"/>
  <c r="C175" i="1"/>
  <c r="A175" i="1"/>
  <c r="L173" i="1"/>
  <c r="K173" i="1"/>
  <c r="F173" i="1"/>
  <c r="D173" i="1"/>
  <c r="C173" i="1"/>
  <c r="A173" i="1"/>
  <c r="L171" i="1"/>
  <c r="K171" i="1"/>
  <c r="D171" i="1"/>
  <c r="C171" i="1"/>
  <c r="A171" i="1"/>
  <c r="B169" i="1"/>
  <c r="A169" i="1"/>
  <c r="J168" i="1"/>
  <c r="G168" i="1"/>
  <c r="B168" i="1"/>
  <c r="A168" i="1"/>
  <c r="J167" i="1"/>
  <c r="G167" i="1"/>
  <c r="B167" i="1"/>
  <c r="A167" i="1"/>
  <c r="H92" i="1"/>
  <c r="C92" i="1"/>
  <c r="D103" i="1" s="1"/>
  <c r="J90" i="1"/>
  <c r="B90" i="1"/>
  <c r="B89" i="1"/>
  <c r="A89" i="1"/>
  <c r="J88" i="1"/>
  <c r="G88" i="1"/>
  <c r="B88" i="1"/>
  <c r="A88" i="1"/>
  <c r="J87" i="1"/>
  <c r="B87" i="1"/>
  <c r="A87" i="1"/>
  <c r="K58" i="1"/>
  <c r="I58" i="1"/>
  <c r="K52" i="1"/>
  <c r="I52" i="1"/>
  <c r="K46" i="1"/>
  <c r="I38" i="1"/>
  <c r="D38" i="1"/>
  <c r="I36" i="1"/>
  <c r="D36" i="1"/>
  <c r="I34" i="1"/>
  <c r="D34" i="1"/>
  <c r="I32" i="1"/>
  <c r="D32" i="1"/>
  <c r="I30" i="1"/>
  <c r="D30" i="1"/>
  <c r="I28" i="1"/>
  <c r="D28" i="1"/>
  <c r="I26" i="1"/>
  <c r="D26" i="1"/>
  <c r="I24" i="1"/>
  <c r="D24" i="1"/>
  <c r="I22" i="1"/>
  <c r="D22" i="1"/>
  <c r="I20" i="1"/>
  <c r="D20" i="1"/>
  <c r="I18" i="1"/>
  <c r="D18" i="1"/>
  <c r="D16" i="1"/>
  <c r="J9" i="1"/>
  <c r="H335" i="1" l="1"/>
  <c r="I357" i="1" s="1"/>
  <c r="D143" i="1"/>
  <c r="D95" i="1"/>
  <c r="D121" i="1"/>
  <c r="D130" i="1"/>
  <c r="D138" i="1"/>
  <c r="D113" i="1"/>
  <c r="I113" i="1"/>
  <c r="I121" i="1"/>
  <c r="I130" i="1"/>
  <c r="I138" i="1"/>
  <c r="D97" i="1"/>
  <c r="D117" i="1"/>
  <c r="D125" i="1"/>
  <c r="D134" i="1"/>
  <c r="I117" i="1"/>
  <c r="I125" i="1"/>
  <c r="I134" i="1"/>
  <c r="I143" i="1"/>
  <c r="I345" i="1"/>
  <c r="I347" i="1"/>
  <c r="I351" i="1"/>
  <c r="I355" i="1"/>
  <c r="I359" i="1"/>
  <c r="I363" i="1"/>
  <c r="C302" i="1"/>
  <c r="I338" i="1"/>
  <c r="I342" i="1"/>
  <c r="I367" i="1"/>
  <c r="I343" i="1"/>
  <c r="I369" i="1"/>
  <c r="I365" i="1"/>
  <c r="I361" i="1"/>
  <c r="I353" i="1"/>
  <c r="I349" i="1"/>
  <c r="I340" i="1"/>
  <c r="C335" i="1"/>
  <c r="D340" i="1" s="1"/>
  <c r="D102" i="1"/>
  <c r="D100" i="1"/>
  <c r="D98" i="1"/>
  <c r="D96" i="1"/>
  <c r="D94" i="1"/>
  <c r="D147" i="1"/>
  <c r="D144" i="1"/>
  <c r="D142" i="1"/>
  <c r="D140" i="1"/>
  <c r="D137" i="1"/>
  <c r="D135" i="1"/>
  <c r="D133" i="1"/>
  <c r="D131" i="1"/>
  <c r="D129" i="1"/>
  <c r="D126" i="1"/>
  <c r="D124" i="1"/>
  <c r="D122" i="1"/>
  <c r="D120" i="1"/>
  <c r="D118" i="1"/>
  <c r="D116" i="1"/>
  <c r="D114" i="1"/>
  <c r="D101" i="1"/>
  <c r="D115" i="1"/>
  <c r="D119" i="1"/>
  <c r="D123" i="1"/>
  <c r="D127" i="1"/>
  <c r="D132" i="1"/>
  <c r="D136" i="1"/>
  <c r="D141" i="1"/>
  <c r="D146" i="1"/>
  <c r="I339" i="1"/>
  <c r="I344" i="1"/>
  <c r="I348" i="1"/>
  <c r="I352" i="1"/>
  <c r="I356" i="1"/>
  <c r="I360" i="1"/>
  <c r="I364" i="1"/>
  <c r="I368" i="1"/>
  <c r="I147" i="1"/>
  <c r="I144" i="1"/>
  <c r="I142" i="1"/>
  <c r="I140" i="1"/>
  <c r="I137" i="1"/>
  <c r="I135" i="1"/>
  <c r="I133" i="1"/>
  <c r="I131" i="1"/>
  <c r="I129" i="1"/>
  <c r="I126" i="1"/>
  <c r="I124" i="1"/>
  <c r="I122" i="1"/>
  <c r="I120" i="1"/>
  <c r="I118" i="1"/>
  <c r="I116" i="1"/>
  <c r="I114" i="1"/>
  <c r="D99" i="1"/>
  <c r="I115" i="1"/>
  <c r="I119" i="1"/>
  <c r="I123" i="1"/>
  <c r="I127" i="1"/>
  <c r="I132" i="1"/>
  <c r="I136" i="1"/>
  <c r="I141" i="1"/>
  <c r="I146" i="1"/>
  <c r="D365" i="1"/>
  <c r="I337" i="1"/>
  <c r="I341" i="1"/>
  <c r="I346" i="1"/>
  <c r="I350" i="1"/>
  <c r="I354" i="1"/>
  <c r="I358" i="1"/>
  <c r="I362" i="1"/>
  <c r="I366" i="1"/>
  <c r="I370" i="1"/>
  <c r="K201" i="1"/>
  <c r="I201" i="1"/>
  <c r="J252" i="1"/>
  <c r="D367" i="1" l="1"/>
  <c r="D355" i="1"/>
  <c r="D353" i="1"/>
  <c r="D351" i="1"/>
  <c r="D349" i="1"/>
  <c r="D338" i="1"/>
  <c r="D369" i="1"/>
  <c r="D363" i="1"/>
  <c r="D347" i="1"/>
  <c r="D361" i="1"/>
  <c r="D345" i="1"/>
  <c r="D359" i="1"/>
  <c r="D342" i="1"/>
  <c r="D357" i="1"/>
  <c r="J302" i="1"/>
  <c r="J274" i="1"/>
  <c r="D343" i="1"/>
  <c r="D368" i="1"/>
  <c r="D364" i="1"/>
  <c r="D360" i="1"/>
  <c r="D356" i="1"/>
  <c r="D352" i="1"/>
  <c r="D348" i="1"/>
  <c r="D344" i="1"/>
  <c r="D339" i="1"/>
  <c r="D370" i="1"/>
  <c r="D366" i="1"/>
  <c r="D362" i="1"/>
  <c r="D358" i="1"/>
  <c r="D354" i="1"/>
  <c r="D350" i="1"/>
  <c r="D346" i="1"/>
  <c r="D341" i="1"/>
  <c r="D337" i="1"/>
</calcChain>
</file>

<file path=xl/sharedStrings.xml><?xml version="1.0" encoding="utf-8"?>
<sst xmlns="http://schemas.openxmlformats.org/spreadsheetml/2006/main" count="292" uniqueCount="131">
  <si>
    <t xml:space="preserve">LS </t>
  </si>
  <si>
    <t>FICHA PRODUÇÃO CORTE</t>
  </si>
  <si>
    <t xml:space="preserve">QTD. MOSTR. LS </t>
  </si>
  <si>
    <t>CUSTO CONFECÇÃO OFICINA:</t>
  </si>
  <si>
    <t>UNID.</t>
  </si>
  <si>
    <t>FICHA</t>
  </si>
  <si>
    <t>VALOR TOTAL FICHA:</t>
  </si>
  <si>
    <t>DATA PEDIDO</t>
  </si>
  <si>
    <t>DATA ENTREGA</t>
  </si>
  <si>
    <t>INICIO PRODUÇÃO</t>
  </si>
  <si>
    <t>TERM. PRODUÇÃO</t>
  </si>
  <si>
    <t>QUANTIDADE  FICHA</t>
  </si>
  <si>
    <t>RISCO</t>
  </si>
  <si>
    <t>QTD.</t>
  </si>
  <si>
    <t>CORTADOR</t>
  </si>
  <si>
    <t xml:space="preserve"> DIVISÃO TECIDOS</t>
  </si>
  <si>
    <t>UNIDADE</t>
  </si>
  <si>
    <t>VARIANTE 1</t>
  </si>
  <si>
    <t>TOTAL 1</t>
  </si>
  <si>
    <t>FOLHAS</t>
  </si>
  <si>
    <t xml:space="preserve">branco </t>
  </si>
  <si>
    <t>TOTAL 2</t>
  </si>
  <si>
    <t>CORTE EM VIÉS</t>
  </si>
  <si>
    <t>COR</t>
  </si>
  <si>
    <t>LARGURA</t>
  </si>
  <si>
    <t>METRAGEM POR PEÇA</t>
  </si>
  <si>
    <t>METRAGEM TOTAL</t>
  </si>
  <si>
    <t>VARIANTE 2</t>
  </si>
  <si>
    <t>CORTE PLACAS</t>
  </si>
  <si>
    <t>MOLDE Nº / ALTURA</t>
  </si>
  <si>
    <t>QTD. MOCH. POR PLC</t>
  </si>
  <si>
    <t>QUANTIDADE TOTAL</t>
  </si>
  <si>
    <t>CORTE BALANCIN / FACA</t>
  </si>
  <si>
    <t>NUMERO MOLDE</t>
  </si>
  <si>
    <t>QUANTIDADE POR PEÇA</t>
  </si>
  <si>
    <t>PARTE GRÁFICA - A</t>
  </si>
  <si>
    <t>RESP.</t>
  </si>
  <si>
    <t>R$ UNID.</t>
  </si>
  <si>
    <t>Seguir Amostra</t>
  </si>
  <si>
    <t>PARTE GRÁFICA  - B</t>
  </si>
  <si>
    <t>FORNECEDOR:</t>
  </si>
  <si>
    <t>DESCRICÃO:</t>
  </si>
  <si>
    <t>PARTE GRÁFICA - C</t>
  </si>
  <si>
    <t>QUANTIDADE MOLDES:</t>
  </si>
  <si>
    <t>QUANTIDADE GABARITOS:</t>
  </si>
  <si>
    <t>FICHA PRODUÇÃO AVIAMENTO</t>
  </si>
  <si>
    <t>QTD. ENVIADA</t>
  </si>
  <si>
    <t>AVIAMENTOS 1</t>
  </si>
  <si>
    <t>OFICINA</t>
  </si>
  <si>
    <t>Branco</t>
  </si>
  <si>
    <t>Linha 60</t>
  </si>
  <si>
    <t>Transp.</t>
  </si>
  <si>
    <t>;.</t>
  </si>
  <si>
    <t>ACABAMENTO</t>
  </si>
  <si>
    <t>XXXXXXXXXX</t>
  </si>
  <si>
    <t>Embalagem Plástica 40 x 60</t>
  </si>
  <si>
    <t xml:space="preserve">Caixa Papelão </t>
  </si>
  <si>
    <t>Único</t>
  </si>
  <si>
    <t>0,61 m larg. X 0,48 m prof. X 0,46 m larg.</t>
  </si>
  <si>
    <t>Fita Gomada</t>
  </si>
  <si>
    <t>AVIAMENTOS CLIENTE</t>
  </si>
  <si>
    <t>TRAVETES</t>
  </si>
  <si>
    <t>FICHA PRODUÇÃO MODELAGEM</t>
  </si>
  <si>
    <t>DESCRIÇÃO MOLDE</t>
  </si>
  <si>
    <t>Nº</t>
  </si>
  <si>
    <t>QTD</t>
  </si>
  <si>
    <t xml:space="preserve">   FICHA CONTROLE QUALIDADE</t>
  </si>
  <si>
    <t>OFICINA:</t>
  </si>
  <si>
    <t>FONE:</t>
  </si>
  <si>
    <t>ENTRADA PRODUÇÃO:</t>
  </si>
  <si>
    <t>TERMINO PRODUÇÃO:</t>
  </si>
  <si>
    <t>QUANTIDADE:</t>
  </si>
  <si>
    <t>DESCONTOS:</t>
  </si>
  <si>
    <t>R$</t>
  </si>
  <si>
    <t>TOTAL FICHA:</t>
  </si>
  <si>
    <t>INICIO PRODUÇÃO:</t>
  </si>
  <si>
    <t>ROMANEIO PRODUÇÃO</t>
  </si>
  <si>
    <t>ENVIO PRODUÇÃO:</t>
  </si>
  <si>
    <t>RETIRADA PRODUÇÃO:</t>
  </si>
  <si>
    <t>CHECK LIST ENVIO PRODUCÃO LS X OFICINA</t>
  </si>
  <si>
    <t>MALOTES:</t>
  </si>
  <si>
    <t xml:space="preserve">        RESPONSAVÉL      /            DATA</t>
  </si>
  <si>
    <t>CORTE:(                  ) GRANDE     /(                 ) PEQUENO</t>
  </si>
  <si>
    <t>/</t>
  </si>
  <si>
    <t>AVIAM:(                  ) GRANDE     /(                 ) PEQUENO</t>
  </si>
  <si>
    <t>PILOTO:</t>
  </si>
  <si>
    <t>GABARITOS: (     ) NÃO       /            (     ) SIM  (                ) QUANTIDADE</t>
  </si>
  <si>
    <t xml:space="preserve">PARTE GRÁFICA: (     ) SIM        /       (     ) NÃO </t>
  </si>
  <si>
    <t xml:space="preserve">RELÁTORIO PRODUÇÃO OFICINA X LS </t>
  </si>
  <si>
    <t>FALTAS:</t>
  </si>
  <si>
    <t>RETALHOS:</t>
  </si>
  <si>
    <t>QUALIDADE:</t>
  </si>
  <si>
    <t>ORGANIZAÇÃO:</t>
  </si>
  <si>
    <t>CORTE TECIDOS:</t>
  </si>
  <si>
    <t>(      ) NÃO     /      (     ) SIM</t>
  </si>
  <si>
    <t>NOTA (          )</t>
  </si>
  <si>
    <t>CORTE AVIAMENTOS:</t>
  </si>
  <si>
    <t>OBSERVAÇÕES E SUGESTÕES ( OBS: TODO CORTE COM PROBLEMA DEVE SER DEVOLVIDO AO GERENTE DE PRODUÇÃO)</t>
  </si>
  <si>
    <t>RELÁTORIO PRODUÇÃO LS</t>
  </si>
  <si>
    <t>PRAZO ENTREGA:</t>
  </si>
  <si>
    <t>DEFEITOS:</t>
  </si>
  <si>
    <t>PRODUÇÃO</t>
  </si>
  <si>
    <t>DIAS ATRASOS (              )</t>
  </si>
  <si>
    <t>QUANTIDADE (                   )</t>
  </si>
  <si>
    <t xml:space="preserve">REF. CLIENTE:   </t>
  </si>
  <si>
    <t>1X</t>
  </si>
  <si>
    <t xml:space="preserve">FOLES </t>
  </si>
  <si>
    <t xml:space="preserve">2X </t>
  </si>
  <si>
    <t>REPRESENTANTE: ANTONIO</t>
  </si>
  <si>
    <t xml:space="preserve">PRETA </t>
  </si>
  <si>
    <t>Cor 1 - LONITA 140</t>
  </si>
  <si>
    <t>CORPO</t>
  </si>
  <si>
    <t>REF. SAC LS  -  05</t>
  </si>
  <si>
    <t xml:space="preserve">CLIENTE: SENAC </t>
  </si>
  <si>
    <t xml:space="preserve">REF:  ls :  KIT SENAC - 4 PEÇAS </t>
  </si>
  <si>
    <t xml:space="preserve">MODELO: ORGANIZADOR - NECESSAIRE </t>
  </si>
  <si>
    <t xml:space="preserve">COR 2- MICROFIBRA </t>
  </si>
  <si>
    <t xml:space="preserve">FORNECEDOR: BORDADO </t>
  </si>
  <si>
    <t>DESCRICÃO: FRENTE COM NOME DOS CLIENTES  NEC E G( LOGO SENAC PE M)</t>
  </si>
  <si>
    <t xml:space="preserve"> EC - SENAC-  ALGODÃO </t>
  </si>
  <si>
    <t xml:space="preserve">FITA DE Algodão </t>
  </si>
  <si>
    <t xml:space="preserve">alça de mão 20 cm (3X) </t>
  </si>
  <si>
    <t xml:space="preserve">CURSOR 6 COM ARGOLA  JJ FIVELAS </t>
  </si>
  <si>
    <t xml:space="preserve">SEGUIR AMOSTRA </t>
  </si>
  <si>
    <t xml:space="preserve">ZÍPER 6 </t>
  </si>
  <si>
    <t xml:space="preserve">BORNEON 25 MM </t>
  </si>
  <si>
    <t>PEDIDO: 16/26</t>
  </si>
  <si>
    <t>COLECAO : VERÃO /2026</t>
  </si>
  <si>
    <t xml:space="preserve">EMENDA DO FOLES </t>
  </si>
  <si>
    <t xml:space="preserve">CORPO NECESSAIRE </t>
  </si>
  <si>
    <t xml:space="preserve">1 E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</si>
</sst>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[$-416]d\-mmm;@"/>
    <numFmt numFmtId="165" formatCode="0.000"/>
    <numFmt numFmtId="166" formatCode="&quot;R$&quot;\ #,##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5">
    <xf numFmtId="0" fontId="0" fillId="0" borderId="0" xfId="0"/>
    <xf numFmtId="0" fontId="1" fillId="0" borderId="9" xfId="0" applyFont="1" applyBorder="1" applyAlignment="1">
      <alignment horizontal="left"/>
    </xf>
    <xf numFmtId="0" fontId="1" fillId="0" borderId="9" xfId="0" applyFont="1" applyBorder="1"/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8" fontId="1" fillId="0" borderId="9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/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6" fontId="1" fillId="2" borderId="9" xfId="0" applyNumberFormat="1" applyFont="1" applyFill="1" applyBorder="1" applyAlignment="1">
      <alignment horizontal="center"/>
    </xf>
    <xf numFmtId="0" fontId="0" fillId="4" borderId="11" xfId="0" applyFill="1" applyBorder="1"/>
    <xf numFmtId="0" fontId="1" fillId="0" borderId="14" xfId="0" applyFont="1" applyBorder="1"/>
    <xf numFmtId="0" fontId="0" fillId="2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10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165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2" fontId="12" fillId="0" borderId="8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2" fontId="13" fillId="0" borderId="3" xfId="0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2" fontId="14" fillId="0" borderId="3" xfId="0" applyNumberFormat="1" applyFont="1" applyBorder="1" applyAlignment="1">
      <alignment horizontal="center"/>
    </xf>
    <xf numFmtId="2" fontId="14" fillId="0" borderId="6" xfId="0" applyNumberFormat="1" applyFont="1" applyBorder="1" applyAlignment="1">
      <alignment horizontal="center"/>
    </xf>
    <xf numFmtId="2" fontId="14" fillId="0" borderId="8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quotePrefix="1" applyFont="1" applyBorder="1" applyAlignment="1">
      <alignment horizontal="center"/>
    </xf>
    <xf numFmtId="0" fontId="1" fillId="0" borderId="11" xfId="0" quotePrefix="1" applyFont="1" applyBorder="1" applyAlignment="1">
      <alignment horizontal="center"/>
    </xf>
    <xf numFmtId="0" fontId="1" fillId="0" borderId="12" xfId="0" quotePrefix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22" fillId="2" borderId="10" xfId="0" applyFont="1" applyFill="1" applyBorder="1" applyAlignment="1">
      <alignment horizontal="left"/>
    </xf>
    <xf numFmtId="0" fontId="22" fillId="2" borderId="12" xfId="0" applyFont="1" applyFill="1" applyBorder="1" applyAlignment="1">
      <alignment horizontal="left"/>
    </xf>
    <xf numFmtId="0" fontId="1" fillId="2" borderId="10" xfId="0" quotePrefix="1" applyFont="1" applyFill="1" applyBorder="1" applyAlignment="1">
      <alignment horizontal="center"/>
    </xf>
    <xf numFmtId="0" fontId="1" fillId="2" borderId="11" xfId="0" quotePrefix="1" applyFont="1" applyFill="1" applyBorder="1" applyAlignment="1">
      <alignment horizontal="center"/>
    </xf>
    <xf numFmtId="0" fontId="1" fillId="2" borderId="12" xfId="0" quotePrefix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2" fontId="10" fillId="0" borderId="8" xfId="0" applyNumberFormat="1" applyFont="1" applyBorder="1" applyAlignment="1">
      <alignment horizontal="center"/>
    </xf>
    <xf numFmtId="16" fontId="1" fillId="0" borderId="10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left"/>
    </xf>
    <xf numFmtId="166" fontId="9" fillId="0" borderId="2" xfId="0" applyNumberFormat="1" applyFont="1" applyBorder="1" applyAlignment="1">
      <alignment horizontal="left"/>
    </xf>
    <xf numFmtId="166" fontId="9" fillId="0" borderId="3" xfId="0" applyNumberFormat="1" applyFont="1" applyBorder="1" applyAlignment="1">
      <alignment horizontal="left"/>
    </xf>
    <xf numFmtId="166" fontId="9" fillId="0" borderId="6" xfId="0" applyNumberFormat="1" applyFont="1" applyBorder="1" applyAlignment="1">
      <alignment horizontal="left"/>
    </xf>
    <xf numFmtId="166" fontId="9" fillId="0" borderId="7" xfId="0" applyNumberFormat="1" applyFont="1" applyBorder="1" applyAlignment="1">
      <alignment horizontal="left"/>
    </xf>
    <xf numFmtId="166" fontId="9" fillId="0" borderId="8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17" fillId="0" borderId="13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8" fontId="10" fillId="2" borderId="13" xfId="0" applyNumberFormat="1" applyFont="1" applyFill="1" applyBorder="1" applyAlignment="1">
      <alignment horizontal="left"/>
    </xf>
    <xf numFmtId="8" fontId="10" fillId="2" borderId="14" xfId="0" applyNumberFormat="1" applyFont="1" applyFill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8" fontId="9" fillId="0" borderId="1" xfId="0" applyNumberFormat="1" applyFont="1" applyBorder="1" applyAlignment="1">
      <alignment horizontal="left"/>
    </xf>
    <xf numFmtId="8" fontId="9" fillId="0" borderId="2" xfId="0" applyNumberFormat="1" applyFont="1" applyBorder="1" applyAlignment="1">
      <alignment horizontal="left"/>
    </xf>
    <xf numFmtId="8" fontId="9" fillId="0" borderId="3" xfId="0" applyNumberFormat="1" applyFont="1" applyBorder="1" applyAlignment="1">
      <alignment horizontal="left"/>
    </xf>
    <xf numFmtId="8" fontId="9" fillId="0" borderId="6" xfId="0" applyNumberFormat="1" applyFont="1" applyBorder="1" applyAlignment="1">
      <alignment horizontal="left"/>
    </xf>
    <xf numFmtId="8" fontId="9" fillId="0" borderId="7" xfId="0" applyNumberFormat="1" applyFont="1" applyBorder="1" applyAlignment="1">
      <alignment horizontal="left"/>
    </xf>
    <xf numFmtId="8" fontId="9" fillId="0" borderId="8" xfId="0" applyNumberFormat="1" applyFont="1" applyBorder="1" applyAlignment="1">
      <alignment horizontal="left"/>
    </xf>
    <xf numFmtId="8" fontId="11" fillId="2" borderId="13" xfId="0" applyNumberFormat="1" applyFont="1" applyFill="1" applyBorder="1" applyAlignment="1">
      <alignment horizontal="left"/>
    </xf>
    <xf numFmtId="8" fontId="11" fillId="2" borderId="14" xfId="0" applyNumberFormat="1" applyFont="1" applyFill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2200274</xdr:colOff>
      <xdr:row>0</xdr:row>
      <xdr:rowOff>0</xdr:rowOff>
    </xdr:from>
    <xdr:to>
      <xdr:col>1</xdr:col>
      <xdr:colOff>323849</xdr:colOff>
      <xdr:row>4</xdr:row>
      <xdr:rowOff>94259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91B9A4-31CE-4F4C-9725-ACD88DF4F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" y="0"/>
          <a:ext cx="809625" cy="865784"/>
        </a:xfrm>
        <a:prstGeom prst="rect">
          <a:avLst/>
        </a:prstGeom>
      </xdr:spPr>
    </xdr:pic>
    <xdr:clientData/>
  </xdr:twoCellAnchor>
  <xdr:twoCellAnchor editAs="oneCell">
    <xdr:from>
      <xdr:col>0</xdr:col>
      <xdr:colOff>2371725</xdr:colOff>
      <xdr:row>71</xdr:row>
      <xdr:rowOff>114300</xdr:rowOff>
    </xdr:from>
    <xdr:to>
      <xdr:col>5</xdr:col>
      <xdr:colOff>160655</xdr:colOff>
      <xdr:row>76</xdr:row>
      <xdr:rowOff>187960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0AE43BD-B354-4407-AE1A-799E6155C5E6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2469" t="14423" r="4750" b="20673"/>
        <a:stretch/>
      </xdr:blipFill>
      <xdr:spPr bwMode="auto">
        <a:xfrm>
          <a:off x="2371725" y="14030325"/>
          <a:ext cx="2608580" cy="10261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1400175</xdr:colOff>
      <xdr:row>151</xdr:row>
      <xdr:rowOff>180975</xdr:rowOff>
    </xdr:from>
    <xdr:to>
      <xdr:col>2</xdr:col>
      <xdr:colOff>713105</xdr:colOff>
      <xdr:row>157</xdr:row>
      <xdr:rowOff>64135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94E5D38-4D2F-4029-A50F-BD6BDECC7C17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2469" t="14423" r="4750" b="20673"/>
        <a:stretch/>
      </xdr:blipFill>
      <xdr:spPr bwMode="auto">
        <a:xfrm>
          <a:off x="1400175" y="30156150"/>
          <a:ext cx="2608580" cy="10261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2009775</xdr:colOff>
      <xdr:row>314</xdr:row>
      <xdr:rowOff>180975</xdr:rowOff>
    </xdr:from>
    <xdr:to>
      <xdr:col>3</xdr:col>
      <xdr:colOff>560705</xdr:colOff>
      <xdr:row>320</xdr:row>
      <xdr:rowOff>64135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0C1D24B-09EF-43FF-8A67-4BFA2E71621A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2469" t="14423" r="4750" b="20673"/>
        <a:stretch/>
      </xdr:blipFill>
      <xdr:spPr bwMode="auto">
        <a:xfrm>
          <a:off x="2009775" y="62722125"/>
          <a:ext cx="2608580" cy="10261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571500</xdr:colOff>
      <xdr:row>71</xdr:row>
      <xdr:rowOff>180974</xdr:rowOff>
    </xdr:from>
    <xdr:to>
      <xdr:col>8</xdr:col>
      <xdr:colOff>177800</xdr:colOff>
      <xdr:row>77</xdr:row>
      <xdr:rowOff>38099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431AC45D-7590-40C0-AB15-20868029015B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96" t="1" r="12500" b="15131"/>
        <a:stretch/>
      </xdr:blipFill>
      <xdr:spPr bwMode="auto">
        <a:xfrm>
          <a:off x="5391150" y="14096999"/>
          <a:ext cx="1587500" cy="10001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371476</xdr:colOff>
      <xdr:row>152</xdr:row>
      <xdr:rowOff>66675</xdr:rowOff>
    </xdr:from>
    <xdr:to>
      <xdr:col>6</xdr:col>
      <xdr:colOff>390526</xdr:colOff>
      <xdr:row>157</xdr:row>
      <xdr:rowOff>9525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451FB71-B5AB-4510-B86B-4E27E4170A38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96" t="1" r="12500" b="15131"/>
        <a:stretch/>
      </xdr:blipFill>
      <xdr:spPr bwMode="auto">
        <a:xfrm>
          <a:off x="4429126" y="30232350"/>
          <a:ext cx="1390650" cy="895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314325</xdr:colOff>
      <xdr:row>314</xdr:row>
      <xdr:rowOff>0</xdr:rowOff>
    </xdr:from>
    <xdr:to>
      <xdr:col>8</xdr:col>
      <xdr:colOff>101600</xdr:colOff>
      <xdr:row>320</xdr:row>
      <xdr:rowOff>114300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6C2F4C1-A965-4C98-8154-94482C60EAE2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96" t="1" r="12500" b="15131"/>
        <a:stretch/>
      </xdr:blipFill>
      <xdr:spPr bwMode="auto">
        <a:xfrm>
          <a:off x="5133975" y="62541150"/>
          <a:ext cx="1768475" cy="1257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5BEE-428B-4D41-89A4-CE6B2E0B8949}">
  <dimension ref="A1:L402"/>
  <sheetViews>
    <sheetView tabSelected="1" topLeftCell="A322" workbookViewId="0">
      <selection activeCell="C276" sqref="C276:H277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1"/>
    </row>
    <row r="2" spans="1:12" x14ac:dyDescent="0.25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1:12" ht="15.75" thickBot="1" x14ac:dyDescent="0.3">
      <c r="A3" s="55"/>
      <c r="B3" s="56"/>
      <c r="C3" s="56"/>
      <c r="D3" s="56"/>
      <c r="E3" s="56"/>
      <c r="F3" s="56"/>
      <c r="G3" s="56"/>
      <c r="H3" s="56"/>
      <c r="I3" s="56"/>
      <c r="J3" s="56"/>
      <c r="K3" s="56"/>
      <c r="L3" s="57"/>
    </row>
    <row r="4" spans="1:12" x14ac:dyDescent="0.25">
      <c r="A4" s="58" t="s">
        <v>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12" ht="15.75" thickBot="1" x14ac:dyDescent="0.3">
      <c r="A6" s="1" t="s">
        <v>113</v>
      </c>
      <c r="B6" s="64" t="s">
        <v>108</v>
      </c>
      <c r="C6" s="65"/>
      <c r="D6" s="65"/>
      <c r="E6" s="65"/>
      <c r="F6" s="66"/>
      <c r="G6" s="64" t="s">
        <v>126</v>
      </c>
      <c r="H6" s="65"/>
      <c r="I6" s="66"/>
      <c r="J6" s="25" t="s">
        <v>2</v>
      </c>
      <c r="K6" s="27"/>
      <c r="L6" s="26"/>
    </row>
    <row r="7" spans="1:12" ht="15.75" thickBot="1" x14ac:dyDescent="0.3">
      <c r="A7" s="2" t="s">
        <v>104</v>
      </c>
      <c r="B7" s="64" t="s">
        <v>112</v>
      </c>
      <c r="C7" s="65"/>
      <c r="D7" s="65"/>
      <c r="E7" s="65"/>
      <c r="F7" s="66"/>
      <c r="G7" s="64" t="s">
        <v>127</v>
      </c>
      <c r="H7" s="65"/>
      <c r="I7" s="66"/>
      <c r="J7" s="58">
        <v>0</v>
      </c>
      <c r="K7" s="59"/>
      <c r="L7" s="60"/>
    </row>
    <row r="8" spans="1:12" ht="15.75" thickBot="1" x14ac:dyDescent="0.3">
      <c r="A8" s="2" t="s">
        <v>114</v>
      </c>
      <c r="B8" s="64" t="s">
        <v>115</v>
      </c>
      <c r="C8" s="65"/>
      <c r="D8" s="65"/>
      <c r="E8" s="65"/>
      <c r="F8" s="65"/>
      <c r="G8" s="65"/>
      <c r="H8" s="65"/>
      <c r="I8" s="66"/>
      <c r="J8" s="61"/>
      <c r="K8" s="62"/>
      <c r="L8" s="63"/>
    </row>
    <row r="9" spans="1:12" ht="15.75" thickBot="1" x14ac:dyDescent="0.3">
      <c r="A9" s="3" t="s">
        <v>3</v>
      </c>
      <c r="B9" s="4" t="s">
        <v>4</v>
      </c>
      <c r="C9" s="5">
        <v>21</v>
      </c>
      <c r="D9" s="25" t="s">
        <v>5</v>
      </c>
      <c r="E9" s="26"/>
      <c r="F9" s="6">
        <v>3</v>
      </c>
      <c r="G9" s="25" t="s">
        <v>6</v>
      </c>
      <c r="H9" s="27"/>
      <c r="I9" s="26"/>
      <c r="J9" s="28">
        <f>SUM(C9*F9)</f>
        <v>63</v>
      </c>
      <c r="K9" s="27"/>
      <c r="L9" s="26"/>
    </row>
    <row r="10" spans="1:12" x14ac:dyDescent="0.25">
      <c r="A10" s="29" t="s">
        <v>7</v>
      </c>
      <c r="B10" s="31">
        <v>43965</v>
      </c>
      <c r="C10" s="32"/>
      <c r="D10" s="32"/>
      <c r="E10" s="32"/>
      <c r="F10" s="33"/>
      <c r="G10" s="37" t="s">
        <v>8</v>
      </c>
      <c r="H10" s="38"/>
      <c r="I10" s="39"/>
      <c r="J10" s="43">
        <v>46142</v>
      </c>
      <c r="K10" s="44"/>
      <c r="L10" s="45"/>
    </row>
    <row r="11" spans="1:12" ht="15.75" thickBot="1" x14ac:dyDescent="0.3">
      <c r="A11" s="30"/>
      <c r="B11" s="34"/>
      <c r="C11" s="35"/>
      <c r="D11" s="35"/>
      <c r="E11" s="35"/>
      <c r="F11" s="36"/>
      <c r="G11" s="40"/>
      <c r="H11" s="41"/>
      <c r="I11" s="42"/>
      <c r="J11" s="46"/>
      <c r="K11" s="47"/>
      <c r="L11" s="48"/>
    </row>
    <row r="12" spans="1:12" x14ac:dyDescent="0.25">
      <c r="A12" s="29" t="s">
        <v>9</v>
      </c>
      <c r="B12" s="31">
        <v>46082</v>
      </c>
      <c r="C12" s="32"/>
      <c r="D12" s="32"/>
      <c r="E12" s="32"/>
      <c r="F12" s="33"/>
      <c r="G12" s="37" t="s">
        <v>10</v>
      </c>
      <c r="H12" s="38"/>
      <c r="I12" s="39"/>
      <c r="J12" s="31">
        <v>46109</v>
      </c>
      <c r="K12" s="32"/>
      <c r="L12" s="33"/>
    </row>
    <row r="13" spans="1:12" ht="15.75" thickBot="1" x14ac:dyDescent="0.3">
      <c r="A13" s="30"/>
      <c r="B13" s="34"/>
      <c r="C13" s="35"/>
      <c r="D13" s="35"/>
      <c r="E13" s="35"/>
      <c r="F13" s="36"/>
      <c r="G13" s="40"/>
      <c r="H13" s="41"/>
      <c r="I13" s="42"/>
      <c r="J13" s="34"/>
      <c r="K13" s="35"/>
      <c r="L13" s="36"/>
    </row>
    <row r="14" spans="1:12" ht="15.75" thickBot="1" x14ac:dyDescent="0.3">
      <c r="A14" s="7" t="s">
        <v>11</v>
      </c>
      <c r="B14" s="8"/>
      <c r="C14" s="25">
        <v>3</v>
      </c>
      <c r="D14" s="27"/>
      <c r="E14" s="26"/>
      <c r="F14" s="67" t="s">
        <v>12</v>
      </c>
      <c r="G14" s="3" t="s">
        <v>13</v>
      </c>
      <c r="H14" s="25">
        <v>0</v>
      </c>
      <c r="I14" s="26"/>
      <c r="J14" s="67" t="s">
        <v>12</v>
      </c>
      <c r="K14" s="3" t="s">
        <v>13</v>
      </c>
      <c r="L14" s="69" t="s">
        <v>14</v>
      </c>
    </row>
    <row r="15" spans="1:12" ht="15.75" thickBot="1" x14ac:dyDescent="0.3">
      <c r="A15" s="7" t="s">
        <v>15</v>
      </c>
      <c r="B15" s="2" t="s">
        <v>16</v>
      </c>
      <c r="C15" s="2" t="s">
        <v>17</v>
      </c>
      <c r="D15" s="25" t="s">
        <v>18</v>
      </c>
      <c r="E15" s="26"/>
      <c r="F15" s="68"/>
      <c r="G15" s="9" t="s">
        <v>19</v>
      </c>
      <c r="H15" s="2" t="s">
        <v>27</v>
      </c>
      <c r="I15" s="7" t="s">
        <v>21</v>
      </c>
      <c r="J15" s="68"/>
      <c r="K15" s="9" t="s">
        <v>19</v>
      </c>
      <c r="L15" s="70"/>
    </row>
    <row r="16" spans="1:12" x14ac:dyDescent="0.25">
      <c r="A16" s="71" t="s">
        <v>110</v>
      </c>
      <c r="B16" s="81">
        <v>1</v>
      </c>
      <c r="C16" s="75" t="s">
        <v>109</v>
      </c>
      <c r="D16" s="77">
        <f>SUM(B16*C14)</f>
        <v>3</v>
      </c>
      <c r="E16" s="78"/>
      <c r="F16" s="75"/>
      <c r="G16" s="67"/>
      <c r="H16" s="75"/>
      <c r="I16" s="83">
        <f>SUM(G16*H14)</f>
        <v>0</v>
      </c>
      <c r="J16" s="75"/>
      <c r="K16" s="75"/>
      <c r="L16" s="75"/>
    </row>
    <row r="17" spans="1:12" ht="15.75" thickBot="1" x14ac:dyDescent="0.3">
      <c r="A17" s="72"/>
      <c r="B17" s="82"/>
      <c r="C17" s="76"/>
      <c r="D17" s="79"/>
      <c r="E17" s="80"/>
      <c r="F17" s="76"/>
      <c r="G17" s="68"/>
      <c r="H17" s="76"/>
      <c r="I17" s="84"/>
      <c r="J17" s="76"/>
      <c r="K17" s="76"/>
      <c r="L17" s="76"/>
    </row>
    <row r="18" spans="1:12" ht="15" customHeight="1" x14ac:dyDescent="0.25">
      <c r="A18" s="71" t="s">
        <v>116</v>
      </c>
      <c r="B18" s="73">
        <v>0.93</v>
      </c>
      <c r="C18" s="75" t="s">
        <v>109</v>
      </c>
      <c r="D18" s="77">
        <f>SUM(B18*C$14)</f>
        <v>2.79</v>
      </c>
      <c r="E18" s="78"/>
      <c r="F18" s="75"/>
      <c r="G18" s="75"/>
      <c r="H18" s="75"/>
      <c r="I18" s="83">
        <f>SUM(B18*H14)</f>
        <v>0</v>
      </c>
      <c r="J18" s="75"/>
      <c r="K18" s="75"/>
      <c r="L18" s="75"/>
    </row>
    <row r="19" spans="1:12" ht="15.75" customHeight="1" thickBot="1" x14ac:dyDescent="0.3">
      <c r="A19" s="72"/>
      <c r="B19" s="74"/>
      <c r="C19" s="76"/>
      <c r="D19" s="79"/>
      <c r="E19" s="80"/>
      <c r="F19" s="76"/>
      <c r="G19" s="76"/>
      <c r="H19" s="76"/>
      <c r="I19" s="84"/>
      <c r="J19" s="76"/>
      <c r="K19" s="76"/>
      <c r="L19" s="76"/>
    </row>
    <row r="20" spans="1:12" ht="15" customHeight="1" x14ac:dyDescent="0.25">
      <c r="A20" s="71"/>
      <c r="B20" s="73"/>
      <c r="C20" s="75"/>
      <c r="D20" s="77">
        <f>SUM(B20*C$14)</f>
        <v>0</v>
      </c>
      <c r="E20" s="78"/>
      <c r="F20" s="75"/>
      <c r="G20" s="75"/>
      <c r="H20" s="75"/>
      <c r="I20" s="83">
        <f>SUM(B20*H14)</f>
        <v>0</v>
      </c>
      <c r="J20" s="75"/>
      <c r="K20" s="75"/>
      <c r="L20" s="75"/>
    </row>
    <row r="21" spans="1:12" ht="15.75" customHeight="1" thickBot="1" x14ac:dyDescent="0.3">
      <c r="A21" s="72"/>
      <c r="B21" s="74"/>
      <c r="C21" s="76"/>
      <c r="D21" s="79"/>
      <c r="E21" s="80"/>
      <c r="F21" s="76"/>
      <c r="G21" s="76"/>
      <c r="H21" s="76"/>
      <c r="I21" s="84"/>
      <c r="J21" s="76"/>
      <c r="K21" s="76"/>
      <c r="L21" s="76"/>
    </row>
    <row r="22" spans="1:12" ht="15" customHeight="1" x14ac:dyDescent="0.25">
      <c r="A22" s="71"/>
      <c r="B22" s="73">
        <v>0</v>
      </c>
      <c r="C22" s="75"/>
      <c r="D22" s="77">
        <f>SUM(B22*C$14)</f>
        <v>0</v>
      </c>
      <c r="E22" s="78"/>
      <c r="F22" s="75"/>
      <c r="G22" s="75"/>
      <c r="H22" s="75"/>
      <c r="I22" s="83">
        <f>SUM(B22*H14)</f>
        <v>0</v>
      </c>
      <c r="J22" s="75"/>
      <c r="K22" s="75"/>
      <c r="L22" s="75"/>
    </row>
    <row r="23" spans="1:12" ht="15.75" customHeight="1" thickBot="1" x14ac:dyDescent="0.3">
      <c r="A23" s="72"/>
      <c r="B23" s="74"/>
      <c r="C23" s="76"/>
      <c r="D23" s="79"/>
      <c r="E23" s="80"/>
      <c r="F23" s="76"/>
      <c r="G23" s="76"/>
      <c r="H23" s="76"/>
      <c r="I23" s="84"/>
      <c r="J23" s="76"/>
      <c r="K23" s="76"/>
      <c r="L23" s="76"/>
    </row>
    <row r="24" spans="1:12" x14ac:dyDescent="0.25">
      <c r="A24" s="71"/>
      <c r="B24" s="73">
        <v>0</v>
      </c>
      <c r="C24" s="75"/>
      <c r="D24" s="77">
        <f>SUM(B24*C14)</f>
        <v>0</v>
      </c>
      <c r="E24" s="78"/>
      <c r="F24" s="75"/>
      <c r="G24" s="75"/>
      <c r="H24" s="75"/>
      <c r="I24" s="83">
        <f>SUM(B24*H14)</f>
        <v>0</v>
      </c>
      <c r="J24" s="75"/>
      <c r="K24" s="75"/>
      <c r="L24" s="75"/>
    </row>
    <row r="25" spans="1:12" ht="15.75" thickBot="1" x14ac:dyDescent="0.3">
      <c r="A25" s="72"/>
      <c r="B25" s="74"/>
      <c r="C25" s="76"/>
      <c r="D25" s="79"/>
      <c r="E25" s="80"/>
      <c r="F25" s="76"/>
      <c r="G25" s="76"/>
      <c r="H25" s="76"/>
      <c r="I25" s="84"/>
      <c r="J25" s="76"/>
      <c r="K25" s="76"/>
      <c r="L25" s="76"/>
    </row>
    <row r="26" spans="1:12" x14ac:dyDescent="0.25">
      <c r="A26" s="71"/>
      <c r="B26" s="73">
        <v>0</v>
      </c>
      <c r="C26" s="75"/>
      <c r="D26" s="77">
        <f>SUM(B26*C14)</f>
        <v>0</v>
      </c>
      <c r="E26" s="78"/>
      <c r="F26" s="75"/>
      <c r="G26" s="75"/>
      <c r="H26" s="75"/>
      <c r="I26" s="83">
        <f>SUM(B26*H14)</f>
        <v>0</v>
      </c>
      <c r="J26" s="75"/>
      <c r="K26" s="75"/>
      <c r="L26" s="75"/>
    </row>
    <row r="27" spans="1:12" ht="15.75" thickBot="1" x14ac:dyDescent="0.3">
      <c r="A27" s="72"/>
      <c r="B27" s="74"/>
      <c r="C27" s="76"/>
      <c r="D27" s="79"/>
      <c r="E27" s="80"/>
      <c r="F27" s="76"/>
      <c r="G27" s="76"/>
      <c r="H27" s="76"/>
      <c r="I27" s="84"/>
      <c r="J27" s="76"/>
      <c r="K27" s="76"/>
      <c r="L27" s="76"/>
    </row>
    <row r="28" spans="1:12" ht="15" customHeight="1" x14ac:dyDescent="0.25">
      <c r="A28" s="71"/>
      <c r="B28" s="73">
        <v>0</v>
      </c>
      <c r="C28" s="75"/>
      <c r="D28" s="77">
        <f>SUM(B28*C14)</f>
        <v>0</v>
      </c>
      <c r="E28" s="78"/>
      <c r="F28" s="75"/>
      <c r="G28" s="75"/>
      <c r="H28" s="75"/>
      <c r="I28" s="83">
        <f>SUM(B28*H14)</f>
        <v>0</v>
      </c>
      <c r="J28" s="75"/>
      <c r="K28" s="75"/>
      <c r="L28" s="75"/>
    </row>
    <row r="29" spans="1:12" ht="15.75" customHeight="1" thickBot="1" x14ac:dyDescent="0.3">
      <c r="A29" s="72"/>
      <c r="B29" s="74"/>
      <c r="C29" s="76"/>
      <c r="D29" s="79"/>
      <c r="E29" s="80"/>
      <c r="F29" s="76"/>
      <c r="G29" s="76"/>
      <c r="H29" s="76"/>
      <c r="I29" s="84"/>
      <c r="J29" s="76"/>
      <c r="K29" s="76"/>
      <c r="L29" s="76"/>
    </row>
    <row r="30" spans="1:12" x14ac:dyDescent="0.25">
      <c r="A30" s="71"/>
      <c r="B30" s="73">
        <v>0</v>
      </c>
      <c r="C30" s="75"/>
      <c r="D30" s="77">
        <f>SUM(B30*C14)</f>
        <v>0</v>
      </c>
      <c r="E30" s="78"/>
      <c r="F30" s="75"/>
      <c r="G30" s="75"/>
      <c r="H30" s="75"/>
      <c r="I30" s="83">
        <f>SUM(B30*H14)</f>
        <v>0</v>
      </c>
      <c r="J30" s="75"/>
      <c r="K30" s="75"/>
      <c r="L30" s="75"/>
    </row>
    <row r="31" spans="1:12" ht="15.75" thickBot="1" x14ac:dyDescent="0.3">
      <c r="A31" s="72"/>
      <c r="B31" s="74"/>
      <c r="C31" s="76"/>
      <c r="D31" s="79"/>
      <c r="E31" s="80"/>
      <c r="F31" s="76"/>
      <c r="G31" s="76"/>
      <c r="H31" s="76"/>
      <c r="I31" s="84"/>
      <c r="J31" s="76"/>
      <c r="K31" s="76"/>
      <c r="L31" s="76"/>
    </row>
    <row r="32" spans="1:12" x14ac:dyDescent="0.25">
      <c r="A32" s="71"/>
      <c r="B32" s="73">
        <v>0</v>
      </c>
      <c r="C32" s="75"/>
      <c r="D32" s="77">
        <f>SUM(B32*C14)</f>
        <v>0</v>
      </c>
      <c r="E32" s="78"/>
      <c r="F32" s="75"/>
      <c r="G32" s="75"/>
      <c r="H32" s="75"/>
      <c r="I32" s="83">
        <f>SUM(B32*H14)</f>
        <v>0</v>
      </c>
      <c r="J32" s="75"/>
      <c r="K32" s="75"/>
      <c r="L32" s="75"/>
    </row>
    <row r="33" spans="1:12" ht="15.75" thickBot="1" x14ac:dyDescent="0.3">
      <c r="A33" s="72"/>
      <c r="B33" s="74"/>
      <c r="C33" s="76"/>
      <c r="D33" s="79"/>
      <c r="E33" s="80"/>
      <c r="F33" s="76"/>
      <c r="G33" s="76"/>
      <c r="H33" s="76"/>
      <c r="I33" s="84"/>
      <c r="J33" s="76"/>
      <c r="K33" s="76"/>
      <c r="L33" s="76"/>
    </row>
    <row r="34" spans="1:12" x14ac:dyDescent="0.25">
      <c r="A34" s="71"/>
      <c r="B34" s="73">
        <v>0</v>
      </c>
      <c r="C34" s="75"/>
      <c r="D34" s="77">
        <f>SUM(B34*C14)</f>
        <v>0</v>
      </c>
      <c r="E34" s="78"/>
      <c r="F34" s="75"/>
      <c r="G34" s="75"/>
      <c r="H34" s="75"/>
      <c r="I34" s="83">
        <f>SUM(B34*H14)</f>
        <v>0</v>
      </c>
      <c r="J34" s="75"/>
      <c r="K34" s="75"/>
      <c r="L34" s="75"/>
    </row>
    <row r="35" spans="1:12" ht="15.75" thickBot="1" x14ac:dyDescent="0.3">
      <c r="A35" s="72"/>
      <c r="B35" s="74"/>
      <c r="C35" s="76"/>
      <c r="D35" s="79"/>
      <c r="E35" s="80"/>
      <c r="F35" s="76"/>
      <c r="G35" s="76"/>
      <c r="H35" s="76"/>
      <c r="I35" s="84"/>
      <c r="J35" s="76"/>
      <c r="K35" s="76"/>
      <c r="L35" s="76"/>
    </row>
    <row r="36" spans="1:12" x14ac:dyDescent="0.25">
      <c r="A36" s="85"/>
      <c r="B36" s="73">
        <v>0</v>
      </c>
      <c r="C36" s="75"/>
      <c r="D36" s="77">
        <f>SUM(B36*C14)</f>
        <v>0</v>
      </c>
      <c r="E36" s="78"/>
      <c r="F36" s="75"/>
      <c r="G36" s="75"/>
      <c r="H36" s="75"/>
      <c r="I36" s="83">
        <f>SUM(B36*H14)</f>
        <v>0</v>
      </c>
      <c r="J36" s="75"/>
      <c r="K36" s="75"/>
      <c r="L36" s="75"/>
    </row>
    <row r="37" spans="1:12" ht="15.75" thickBot="1" x14ac:dyDescent="0.3">
      <c r="A37" s="86"/>
      <c r="B37" s="74"/>
      <c r="C37" s="76"/>
      <c r="D37" s="79"/>
      <c r="E37" s="80"/>
      <c r="F37" s="76"/>
      <c r="G37" s="76"/>
      <c r="H37" s="76"/>
      <c r="I37" s="84"/>
      <c r="J37" s="76"/>
      <c r="K37" s="76"/>
      <c r="L37" s="76"/>
    </row>
    <row r="38" spans="1:12" x14ac:dyDescent="0.25">
      <c r="A38" s="85"/>
      <c r="B38" s="73">
        <v>0</v>
      </c>
      <c r="C38" s="75"/>
      <c r="D38" s="77">
        <f>SUM(B38*C14)</f>
        <v>0</v>
      </c>
      <c r="E38" s="78"/>
      <c r="F38" s="75"/>
      <c r="G38" s="75"/>
      <c r="H38" s="75"/>
      <c r="I38" s="83">
        <f>SUM(B38*H14)</f>
        <v>0</v>
      </c>
      <c r="J38" s="75"/>
      <c r="K38" s="75"/>
      <c r="L38" s="75"/>
    </row>
    <row r="39" spans="1:12" ht="15.75" thickBot="1" x14ac:dyDescent="0.3">
      <c r="A39" s="86"/>
      <c r="B39" s="74"/>
      <c r="C39" s="76"/>
      <c r="D39" s="79"/>
      <c r="E39" s="80"/>
      <c r="F39" s="76"/>
      <c r="G39" s="76"/>
      <c r="H39" s="76"/>
      <c r="I39" s="84"/>
      <c r="J39" s="76"/>
      <c r="K39" s="76"/>
      <c r="L39" s="76"/>
    </row>
    <row r="40" spans="1:12" x14ac:dyDescent="0.25">
      <c r="A40" s="58" t="s">
        <v>22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60"/>
    </row>
    <row r="41" spans="1:12" ht="15.75" thickBot="1" x14ac:dyDescent="0.3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</row>
    <row r="42" spans="1:12" ht="15" customHeight="1" thickBot="1" x14ac:dyDescent="0.35">
      <c r="A42" s="87" t="s">
        <v>23</v>
      </c>
      <c r="B42" s="37" t="s">
        <v>24</v>
      </c>
      <c r="C42" s="38"/>
      <c r="D42" s="38"/>
      <c r="E42" s="39"/>
      <c r="F42" s="89" t="s">
        <v>25</v>
      </c>
      <c r="G42" s="90"/>
      <c r="H42" s="91"/>
      <c r="I42" s="95" t="s">
        <v>26</v>
      </c>
      <c r="J42" s="96"/>
      <c r="K42" s="96"/>
      <c r="L42" s="97"/>
    </row>
    <row r="43" spans="1:12" ht="15.75" customHeight="1" thickBot="1" x14ac:dyDescent="0.3">
      <c r="A43" s="88"/>
      <c r="B43" s="40"/>
      <c r="C43" s="41"/>
      <c r="D43" s="41"/>
      <c r="E43" s="42"/>
      <c r="F43" s="92"/>
      <c r="G43" s="93"/>
      <c r="H43" s="94"/>
      <c r="I43" s="98" t="s">
        <v>17</v>
      </c>
      <c r="J43" s="99"/>
      <c r="K43" s="100" t="s">
        <v>27</v>
      </c>
      <c r="L43" s="99"/>
    </row>
    <row r="44" spans="1:12" ht="15" customHeight="1" x14ac:dyDescent="0.25">
      <c r="A44" s="101"/>
      <c r="B44" s="103"/>
      <c r="C44" s="104"/>
      <c r="D44" s="104"/>
      <c r="E44" s="105"/>
      <c r="F44" s="109"/>
      <c r="G44" s="110"/>
      <c r="H44" s="111"/>
      <c r="I44" s="109"/>
      <c r="J44" s="111"/>
      <c r="K44" s="110"/>
      <c r="L44" s="111"/>
    </row>
    <row r="45" spans="1:12" ht="15.75" customHeight="1" thickBot="1" x14ac:dyDescent="0.3">
      <c r="A45" s="102"/>
      <c r="B45" s="106"/>
      <c r="C45" s="107"/>
      <c r="D45" s="107"/>
      <c r="E45" s="108"/>
      <c r="F45" s="112"/>
      <c r="G45" s="113"/>
      <c r="H45" s="114"/>
      <c r="I45" s="112"/>
      <c r="J45" s="114"/>
      <c r="K45" s="113"/>
      <c r="L45" s="114"/>
    </row>
    <row r="46" spans="1:12" ht="15" customHeight="1" x14ac:dyDescent="0.25">
      <c r="A46" s="115"/>
      <c r="B46" s="103"/>
      <c r="C46" s="104"/>
      <c r="D46" s="104"/>
      <c r="E46" s="105"/>
      <c r="F46" s="109"/>
      <c r="G46" s="110"/>
      <c r="H46" s="111"/>
      <c r="I46" s="109"/>
      <c r="J46" s="111"/>
      <c r="K46" s="110">
        <f>SUM(F46*H14)</f>
        <v>0</v>
      </c>
      <c r="L46" s="111"/>
    </row>
    <row r="47" spans="1:12" ht="15.75" customHeight="1" thickBot="1" x14ac:dyDescent="0.3">
      <c r="A47" s="116"/>
      <c r="B47" s="106"/>
      <c r="C47" s="107"/>
      <c r="D47" s="107"/>
      <c r="E47" s="108"/>
      <c r="F47" s="112"/>
      <c r="G47" s="113"/>
      <c r="H47" s="114"/>
      <c r="I47" s="112"/>
      <c r="J47" s="114"/>
      <c r="K47" s="113"/>
      <c r="L47" s="114"/>
    </row>
    <row r="48" spans="1:12" ht="15" customHeight="1" x14ac:dyDescent="0.25">
      <c r="A48" s="58" t="s">
        <v>28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60"/>
    </row>
    <row r="49" spans="1:12" ht="15.75" customHeight="1" thickBot="1" x14ac:dyDescent="0.3">
      <c r="A49" s="61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3"/>
    </row>
    <row r="50" spans="1:12" ht="15" customHeight="1" thickBot="1" x14ac:dyDescent="0.35">
      <c r="A50" s="87" t="s">
        <v>23</v>
      </c>
      <c r="B50" s="37" t="s">
        <v>29</v>
      </c>
      <c r="C50" s="38"/>
      <c r="D50" s="38"/>
      <c r="E50" s="39"/>
      <c r="F50" s="89" t="s">
        <v>30</v>
      </c>
      <c r="G50" s="90"/>
      <c r="H50" s="91"/>
      <c r="I50" s="95" t="s">
        <v>31</v>
      </c>
      <c r="J50" s="96"/>
      <c r="K50" s="96"/>
      <c r="L50" s="97"/>
    </row>
    <row r="51" spans="1:12" ht="15.75" customHeight="1" thickBot="1" x14ac:dyDescent="0.3">
      <c r="A51" s="88"/>
      <c r="B51" s="40"/>
      <c r="C51" s="41"/>
      <c r="D51" s="41"/>
      <c r="E51" s="42"/>
      <c r="F51" s="92"/>
      <c r="G51" s="93"/>
      <c r="H51" s="94"/>
      <c r="I51" s="98" t="s">
        <v>17</v>
      </c>
      <c r="J51" s="99"/>
      <c r="K51" s="100" t="s">
        <v>27</v>
      </c>
      <c r="L51" s="99"/>
    </row>
    <row r="52" spans="1:12" ht="15" customHeight="1" x14ac:dyDescent="0.25">
      <c r="A52" s="115"/>
      <c r="B52" s="103"/>
      <c r="C52" s="104"/>
      <c r="D52" s="104"/>
      <c r="E52" s="105"/>
      <c r="F52" s="109">
        <v>0</v>
      </c>
      <c r="G52" s="110"/>
      <c r="H52" s="111"/>
      <c r="I52" s="109" t="e">
        <f>SUM(C14/F52)</f>
        <v>#DIV/0!</v>
      </c>
      <c r="J52" s="111"/>
      <c r="K52" s="110" t="e">
        <f>SUM(C14/F52)</f>
        <v>#DIV/0!</v>
      </c>
      <c r="L52" s="111"/>
    </row>
    <row r="53" spans="1:12" ht="15.75" customHeight="1" thickBot="1" x14ac:dyDescent="0.3">
      <c r="A53" s="116"/>
      <c r="B53" s="106"/>
      <c r="C53" s="107"/>
      <c r="D53" s="107"/>
      <c r="E53" s="108"/>
      <c r="F53" s="112"/>
      <c r="G53" s="113"/>
      <c r="H53" s="114"/>
      <c r="I53" s="112"/>
      <c r="J53" s="114"/>
      <c r="K53" s="113"/>
      <c r="L53" s="114"/>
    </row>
    <row r="54" spans="1:12" ht="15" customHeight="1" x14ac:dyDescent="0.25">
      <c r="A54" s="58" t="s">
        <v>32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60"/>
    </row>
    <row r="55" spans="1:12" ht="15.75" customHeight="1" thickBot="1" x14ac:dyDescent="0.3">
      <c r="A55" s="61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3"/>
    </row>
    <row r="56" spans="1:12" ht="15" customHeight="1" thickBot="1" x14ac:dyDescent="0.35">
      <c r="A56" s="87" t="s">
        <v>23</v>
      </c>
      <c r="B56" s="37" t="s">
        <v>33</v>
      </c>
      <c r="C56" s="38"/>
      <c r="D56" s="38"/>
      <c r="E56" s="39"/>
      <c r="F56" s="125" t="s">
        <v>34</v>
      </c>
      <c r="G56" s="126"/>
      <c r="H56" s="127"/>
      <c r="I56" s="95" t="s">
        <v>31</v>
      </c>
      <c r="J56" s="96"/>
      <c r="K56" s="96"/>
      <c r="L56" s="97"/>
    </row>
    <row r="57" spans="1:12" ht="15.75" customHeight="1" thickBot="1" x14ac:dyDescent="0.3">
      <c r="A57" s="88"/>
      <c r="B57" s="40"/>
      <c r="C57" s="41"/>
      <c r="D57" s="41"/>
      <c r="E57" s="42"/>
      <c r="F57" s="128"/>
      <c r="G57" s="129"/>
      <c r="H57" s="130"/>
      <c r="I57" s="98" t="s">
        <v>17</v>
      </c>
      <c r="J57" s="99"/>
      <c r="K57" s="98" t="s">
        <v>27</v>
      </c>
      <c r="L57" s="99"/>
    </row>
    <row r="58" spans="1:12" ht="15" customHeight="1" x14ac:dyDescent="0.25">
      <c r="A58" s="115"/>
      <c r="B58" s="103"/>
      <c r="C58" s="104"/>
      <c r="D58" s="104"/>
      <c r="E58" s="105"/>
      <c r="F58" s="109"/>
      <c r="G58" s="110"/>
      <c r="H58" s="111"/>
      <c r="I58" s="117">
        <f>SUM(F58*C14)</f>
        <v>0</v>
      </c>
      <c r="J58" s="118"/>
      <c r="K58" s="121">
        <f>SUM(F58*H14)</f>
        <v>0</v>
      </c>
      <c r="L58" s="122"/>
    </row>
    <row r="59" spans="1:12" ht="15.75" customHeight="1" thickBot="1" x14ac:dyDescent="0.3">
      <c r="A59" s="116"/>
      <c r="B59" s="106"/>
      <c r="C59" s="107"/>
      <c r="D59" s="107"/>
      <c r="E59" s="108"/>
      <c r="F59" s="112"/>
      <c r="G59" s="113"/>
      <c r="H59" s="114"/>
      <c r="I59" s="119"/>
      <c r="J59" s="120"/>
      <c r="K59" s="123"/>
      <c r="L59" s="124"/>
    </row>
    <row r="60" spans="1:12" ht="15.75" customHeight="1" thickBot="1" x14ac:dyDescent="0.3">
      <c r="A60" s="25" t="s">
        <v>35</v>
      </c>
      <c r="B60" s="27"/>
      <c r="C60" s="27"/>
      <c r="D60" s="27"/>
      <c r="E60" s="27"/>
      <c r="F60" s="27"/>
      <c r="G60" s="27"/>
      <c r="H60" s="27"/>
      <c r="I60" s="27"/>
      <c r="J60" s="27"/>
      <c r="K60" s="26"/>
      <c r="L60" s="10" t="s">
        <v>36</v>
      </c>
    </row>
    <row r="61" spans="1:12" ht="15.75" customHeight="1" thickBot="1" x14ac:dyDescent="0.3">
      <c r="A61" s="142" t="s">
        <v>117</v>
      </c>
      <c r="B61" s="143"/>
      <c r="C61" s="11" t="s">
        <v>37</v>
      </c>
      <c r="D61" s="136" t="s">
        <v>17</v>
      </c>
      <c r="E61" s="137"/>
      <c r="F61" s="137"/>
      <c r="G61" s="138"/>
      <c r="H61" s="139" t="s">
        <v>27</v>
      </c>
      <c r="I61" s="140"/>
      <c r="J61" s="140"/>
      <c r="K61" s="141"/>
      <c r="L61" s="75"/>
    </row>
    <row r="62" spans="1:12" ht="15.75" customHeight="1" thickBot="1" x14ac:dyDescent="0.3">
      <c r="A62" s="144" t="s">
        <v>118</v>
      </c>
      <c r="B62" s="145"/>
      <c r="C62" s="12"/>
      <c r="D62" s="146" t="s">
        <v>38</v>
      </c>
      <c r="E62" s="147"/>
      <c r="F62" s="147"/>
      <c r="G62" s="148"/>
      <c r="H62" s="131" t="s">
        <v>38</v>
      </c>
      <c r="I62" s="132"/>
      <c r="J62" s="132"/>
      <c r="K62" s="133"/>
      <c r="L62" s="76"/>
    </row>
    <row r="63" spans="1:12" ht="15.75" customHeight="1" thickBot="1" x14ac:dyDescent="0.3">
      <c r="A63" s="131" t="s">
        <v>39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3"/>
      <c r="L63" s="10" t="s">
        <v>36</v>
      </c>
    </row>
    <row r="64" spans="1:12" ht="15.75" customHeight="1" thickBot="1" x14ac:dyDescent="0.3">
      <c r="A64" s="134" t="s">
        <v>40</v>
      </c>
      <c r="B64" s="135"/>
      <c r="C64" s="11" t="s">
        <v>37</v>
      </c>
      <c r="D64" s="136" t="s">
        <v>17</v>
      </c>
      <c r="E64" s="137"/>
      <c r="F64" s="137"/>
      <c r="G64" s="138"/>
      <c r="H64" s="139" t="s">
        <v>27</v>
      </c>
      <c r="I64" s="140"/>
      <c r="J64" s="140"/>
      <c r="K64" s="141"/>
      <c r="L64" s="75"/>
    </row>
    <row r="65" spans="1:12" ht="15.75" customHeight="1" thickBot="1" x14ac:dyDescent="0.3">
      <c r="A65" s="64" t="s">
        <v>41</v>
      </c>
      <c r="B65" s="66"/>
      <c r="C65" s="12">
        <v>0</v>
      </c>
      <c r="D65" s="136" t="s">
        <v>38</v>
      </c>
      <c r="E65" s="137"/>
      <c r="F65" s="137"/>
      <c r="G65" s="138"/>
      <c r="H65" s="25" t="s">
        <v>38</v>
      </c>
      <c r="I65" s="27"/>
      <c r="J65" s="27"/>
      <c r="K65" s="26"/>
      <c r="L65" s="76"/>
    </row>
    <row r="66" spans="1:12" ht="15.75" customHeight="1" thickBot="1" x14ac:dyDescent="0.3">
      <c r="A66" s="25" t="s">
        <v>42</v>
      </c>
      <c r="B66" s="27"/>
      <c r="C66" s="27"/>
      <c r="D66" s="27"/>
      <c r="E66" s="27"/>
      <c r="F66" s="27"/>
      <c r="G66" s="27"/>
      <c r="H66" s="27"/>
      <c r="I66" s="27"/>
      <c r="J66" s="27"/>
      <c r="K66" s="26"/>
      <c r="L66" s="10" t="s">
        <v>36</v>
      </c>
    </row>
    <row r="67" spans="1:12" ht="15.75" customHeight="1" thickBot="1" x14ac:dyDescent="0.3">
      <c r="A67" s="134" t="s">
        <v>40</v>
      </c>
      <c r="B67" s="135"/>
      <c r="C67" s="11" t="s">
        <v>37</v>
      </c>
      <c r="D67" s="136" t="s">
        <v>17</v>
      </c>
      <c r="E67" s="137"/>
      <c r="F67" s="137"/>
      <c r="G67" s="138"/>
      <c r="H67" s="139" t="s">
        <v>27</v>
      </c>
      <c r="I67" s="140"/>
      <c r="J67" s="140"/>
      <c r="K67" s="141"/>
      <c r="L67" s="75"/>
    </row>
    <row r="68" spans="1:12" ht="15.75" customHeight="1" thickBot="1" x14ac:dyDescent="0.3">
      <c r="A68" s="64" t="s">
        <v>41</v>
      </c>
      <c r="B68" s="66"/>
      <c r="C68" s="12">
        <v>0</v>
      </c>
      <c r="D68" s="136" t="s">
        <v>38</v>
      </c>
      <c r="E68" s="137"/>
      <c r="F68" s="137"/>
      <c r="G68" s="138"/>
      <c r="H68" s="25" t="s">
        <v>38</v>
      </c>
      <c r="I68" s="27"/>
      <c r="J68" s="27"/>
      <c r="K68" s="26"/>
      <c r="L68" s="76"/>
    </row>
    <row r="69" spans="1:12" ht="15" customHeight="1" x14ac:dyDescent="0.25">
      <c r="A69" s="149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1"/>
    </row>
    <row r="70" spans="1:12" ht="15" customHeight="1" x14ac:dyDescent="0.25">
      <c r="A70" s="152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4"/>
    </row>
    <row r="71" spans="1:12" ht="15" customHeight="1" x14ac:dyDescent="0.25">
      <c r="A71" s="152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4"/>
    </row>
    <row r="72" spans="1:12" ht="15" customHeight="1" x14ac:dyDescent="0.25">
      <c r="A72" s="152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4"/>
    </row>
    <row r="73" spans="1:12" ht="15" customHeight="1" x14ac:dyDescent="0.25">
      <c r="A73" s="152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4"/>
    </row>
    <row r="74" spans="1:12" ht="15" customHeight="1" x14ac:dyDescent="0.25">
      <c r="A74" s="152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4"/>
    </row>
    <row r="75" spans="1:12" ht="15" customHeight="1" x14ac:dyDescent="0.25">
      <c r="A75" s="152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4"/>
    </row>
    <row r="76" spans="1:12" ht="15" customHeight="1" x14ac:dyDescent="0.25">
      <c r="A76" s="152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4"/>
    </row>
    <row r="77" spans="1:12" ht="15" customHeight="1" x14ac:dyDescent="0.25">
      <c r="A77" s="152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4"/>
    </row>
    <row r="78" spans="1:12" ht="15" customHeight="1" x14ac:dyDescent="0.25">
      <c r="A78" s="152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4"/>
    </row>
    <row r="79" spans="1:12" ht="15" customHeight="1" x14ac:dyDescent="0.25">
      <c r="A79" s="152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4"/>
    </row>
    <row r="80" spans="1:12" ht="20.25" customHeight="1" thickBot="1" x14ac:dyDescent="0.3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7"/>
    </row>
    <row r="81" spans="1:12" ht="31.5" customHeight="1" thickBot="1" x14ac:dyDescent="0.3">
      <c r="A81" s="2" t="s">
        <v>43</v>
      </c>
      <c r="B81" s="25">
        <v>10</v>
      </c>
      <c r="C81" s="27"/>
      <c r="D81" s="26"/>
      <c r="E81" s="13"/>
      <c r="F81" s="64" t="s">
        <v>44</v>
      </c>
      <c r="G81" s="65"/>
      <c r="H81" s="65"/>
      <c r="I81" s="66"/>
      <c r="J81" s="25">
        <v>0</v>
      </c>
      <c r="K81" s="27"/>
      <c r="L81" s="26"/>
    </row>
    <row r="82" spans="1:12" ht="15" customHeight="1" x14ac:dyDescent="0.25">
      <c r="A82" s="103" t="str">
        <f>A1</f>
        <v xml:space="preserve">LS </v>
      </c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5"/>
    </row>
    <row r="83" spans="1:12" ht="15" customHeight="1" x14ac:dyDescent="0.25">
      <c r="A83" s="158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60"/>
    </row>
    <row r="84" spans="1:12" ht="12" customHeight="1" thickBot="1" x14ac:dyDescent="0.3">
      <c r="A84" s="106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8"/>
    </row>
    <row r="85" spans="1:12" ht="15" customHeight="1" x14ac:dyDescent="0.25">
      <c r="A85" s="58" t="s">
        <v>45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60"/>
    </row>
    <row r="86" spans="1:12" ht="15.75" customHeight="1" thickBot="1" x14ac:dyDescent="0.3">
      <c r="A86" s="61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3"/>
    </row>
    <row r="87" spans="1:12" ht="15.75" customHeight="1" thickBot="1" x14ac:dyDescent="0.3">
      <c r="A87" s="1" t="str">
        <f t="shared" ref="A87:B89" si="0">A6</f>
        <v xml:space="preserve">CLIENTE: SENAC </v>
      </c>
      <c r="B87" s="64" t="str">
        <f t="shared" si="0"/>
        <v>REPRESENTANTE: ANTONIO</v>
      </c>
      <c r="C87" s="65"/>
      <c r="D87" s="65"/>
      <c r="E87" s="65"/>
      <c r="F87" s="66"/>
      <c r="G87" s="64" t="str">
        <f>G6</f>
        <v>PEDIDO: 16/26</v>
      </c>
      <c r="H87" s="65"/>
      <c r="I87" s="66"/>
      <c r="J87" s="25" t="str">
        <f>J6</f>
        <v xml:space="preserve">QTD. MOSTR. LS </v>
      </c>
      <c r="K87" s="27"/>
      <c r="L87" s="26"/>
    </row>
    <row r="88" spans="1:12" ht="15.75" customHeight="1" thickBot="1" x14ac:dyDescent="0.3">
      <c r="A88" s="2" t="str">
        <f>A7</f>
        <v xml:space="preserve">REF. CLIENTE:   </v>
      </c>
      <c r="B88" s="64" t="str">
        <f t="shared" si="0"/>
        <v>REF. SAC LS  -  05</v>
      </c>
      <c r="C88" s="65"/>
      <c r="D88" s="65"/>
      <c r="E88" s="65"/>
      <c r="F88" s="66"/>
      <c r="G88" s="64" t="str">
        <f>G7</f>
        <v>COLECAO : VERÃO /2026</v>
      </c>
      <c r="H88" s="65"/>
      <c r="I88" s="66"/>
      <c r="J88" s="58">
        <f>J7</f>
        <v>0</v>
      </c>
      <c r="K88" s="59"/>
      <c r="L88" s="60"/>
    </row>
    <row r="89" spans="1:12" ht="15.75" customHeight="1" thickBot="1" x14ac:dyDescent="0.3">
      <c r="A89" s="2" t="str">
        <f t="shared" si="0"/>
        <v xml:space="preserve">REF:  ls :  KIT SENAC - 4 PEÇAS </v>
      </c>
      <c r="B89" s="64" t="str">
        <f t="shared" si="0"/>
        <v xml:space="preserve">MODELO: ORGANIZADOR - NECESSAIRE </v>
      </c>
      <c r="C89" s="65"/>
      <c r="D89" s="65"/>
      <c r="E89" s="65"/>
      <c r="F89" s="65"/>
      <c r="G89" s="65"/>
      <c r="H89" s="65"/>
      <c r="I89" s="66"/>
      <c r="J89" s="61"/>
      <c r="K89" s="62"/>
      <c r="L89" s="63"/>
    </row>
    <row r="90" spans="1:12" ht="15" customHeight="1" x14ac:dyDescent="0.25">
      <c r="A90" s="29" t="s">
        <v>7</v>
      </c>
      <c r="B90" s="31">
        <f>B10</f>
        <v>43965</v>
      </c>
      <c r="C90" s="32"/>
      <c r="D90" s="32"/>
      <c r="E90" s="32"/>
      <c r="F90" s="33"/>
      <c r="G90" s="37" t="s">
        <v>8</v>
      </c>
      <c r="H90" s="38"/>
      <c r="I90" s="39"/>
      <c r="J90" s="31">
        <f>J10</f>
        <v>46142</v>
      </c>
      <c r="K90" s="32"/>
      <c r="L90" s="33"/>
    </row>
    <row r="91" spans="1:12" ht="15.75" customHeight="1" thickBot="1" x14ac:dyDescent="0.3">
      <c r="A91" s="30"/>
      <c r="B91" s="34"/>
      <c r="C91" s="35"/>
      <c r="D91" s="35"/>
      <c r="E91" s="35"/>
      <c r="F91" s="36"/>
      <c r="G91" s="40"/>
      <c r="H91" s="41"/>
      <c r="I91" s="42"/>
      <c r="J91" s="34"/>
      <c r="K91" s="35"/>
      <c r="L91" s="36"/>
    </row>
    <row r="92" spans="1:12" ht="15.75" customHeight="1" thickBot="1" x14ac:dyDescent="0.3">
      <c r="A92" s="7" t="s">
        <v>11</v>
      </c>
      <c r="B92" s="8"/>
      <c r="C92" s="25">
        <f>C14</f>
        <v>3</v>
      </c>
      <c r="D92" s="27"/>
      <c r="E92" s="26"/>
      <c r="F92" s="161" t="s">
        <v>46</v>
      </c>
      <c r="G92" s="162"/>
      <c r="H92" s="25">
        <f>H14</f>
        <v>0</v>
      </c>
      <c r="I92" s="26"/>
      <c r="J92" s="161" t="s">
        <v>46</v>
      </c>
      <c r="K92" s="162"/>
      <c r="L92" s="3" t="s">
        <v>36</v>
      </c>
    </row>
    <row r="93" spans="1:12" ht="15.75" customHeight="1" thickBot="1" x14ac:dyDescent="0.3">
      <c r="A93" s="7" t="s">
        <v>47</v>
      </c>
      <c r="B93" s="2" t="s">
        <v>16</v>
      </c>
      <c r="C93" s="2" t="s">
        <v>17</v>
      </c>
      <c r="D93" s="25" t="s">
        <v>18</v>
      </c>
      <c r="E93" s="26"/>
      <c r="F93" s="139" t="s">
        <v>48</v>
      </c>
      <c r="G93" s="141"/>
      <c r="H93" s="2" t="s">
        <v>27</v>
      </c>
      <c r="I93" s="7" t="s">
        <v>21</v>
      </c>
      <c r="J93" s="139" t="s">
        <v>48</v>
      </c>
      <c r="K93" s="141"/>
      <c r="L93" s="14"/>
    </row>
    <row r="94" spans="1:12" ht="15.75" customHeight="1" thickBot="1" x14ac:dyDescent="0.3">
      <c r="A94" s="15" t="s">
        <v>119</v>
      </c>
      <c r="B94" s="15">
        <v>1</v>
      </c>
      <c r="C94" s="16" t="s">
        <v>49</v>
      </c>
      <c r="D94" s="163">
        <f>SUM(B94*C92)</f>
        <v>3</v>
      </c>
      <c r="E94" s="164"/>
      <c r="F94" s="165"/>
      <c r="G94" s="166"/>
      <c r="H94" s="16"/>
      <c r="I94" s="17"/>
      <c r="J94" s="165"/>
      <c r="K94" s="166"/>
      <c r="L94" s="16"/>
    </row>
    <row r="95" spans="1:12" ht="15.75" customHeight="1" thickBot="1" x14ac:dyDescent="0.3">
      <c r="A95" s="15" t="s">
        <v>50</v>
      </c>
      <c r="B95" s="15">
        <v>0.3</v>
      </c>
      <c r="C95" s="16" t="s">
        <v>109</v>
      </c>
      <c r="D95" s="163">
        <f>SUM(B95*C92)</f>
        <v>0.89999999999999991</v>
      </c>
      <c r="E95" s="164"/>
      <c r="F95" s="165"/>
      <c r="G95" s="166"/>
      <c r="H95" s="16"/>
      <c r="I95" s="17"/>
      <c r="J95" s="165"/>
      <c r="K95" s="166"/>
      <c r="L95" s="16"/>
    </row>
    <row r="96" spans="1:12" ht="15.75" customHeight="1" thickBot="1" x14ac:dyDescent="0.3">
      <c r="A96" s="15"/>
      <c r="B96" s="15"/>
      <c r="C96" s="16"/>
      <c r="D96" s="163">
        <f>SUM(B96*C92)</f>
        <v>0</v>
      </c>
      <c r="E96" s="164"/>
      <c r="F96" s="165"/>
      <c r="G96" s="166"/>
      <c r="H96" s="16"/>
      <c r="I96" s="17"/>
      <c r="J96" s="165"/>
      <c r="K96" s="166"/>
      <c r="L96" s="16"/>
    </row>
    <row r="97" spans="1:12" ht="15.75" customHeight="1" thickBot="1" x14ac:dyDescent="0.3">
      <c r="A97" s="15"/>
      <c r="B97" s="15"/>
      <c r="C97" s="16"/>
      <c r="D97" s="163">
        <f>SUM(B97*C92)</f>
        <v>0</v>
      </c>
      <c r="E97" s="164"/>
      <c r="F97" s="165"/>
      <c r="G97" s="166"/>
      <c r="H97" s="16"/>
      <c r="I97" s="17"/>
      <c r="J97" s="165"/>
      <c r="K97" s="166"/>
      <c r="L97" s="16"/>
    </row>
    <row r="98" spans="1:12" ht="15.75" customHeight="1" thickBot="1" x14ac:dyDescent="0.3">
      <c r="A98" s="15"/>
      <c r="B98" s="15"/>
      <c r="C98" s="16"/>
      <c r="D98" s="163">
        <f>SUM(B98*C92)</f>
        <v>0</v>
      </c>
      <c r="E98" s="164"/>
      <c r="F98" s="165"/>
      <c r="G98" s="166"/>
      <c r="H98" s="16"/>
      <c r="I98" s="17"/>
      <c r="J98" s="165"/>
      <c r="K98" s="166"/>
      <c r="L98" s="16"/>
    </row>
    <row r="99" spans="1:12" ht="15.75" customHeight="1" thickBot="1" x14ac:dyDescent="0.3">
      <c r="A99" s="18" t="s">
        <v>120</v>
      </c>
      <c r="B99" s="15">
        <v>0.6</v>
      </c>
      <c r="C99" s="16" t="s">
        <v>109</v>
      </c>
      <c r="D99" s="163">
        <f>SUM(B99*C92)</f>
        <v>1.7999999999999998</v>
      </c>
      <c r="E99" s="164"/>
      <c r="F99" s="165"/>
      <c r="G99" s="166"/>
      <c r="H99" s="16"/>
      <c r="I99" s="17"/>
      <c r="J99" s="165"/>
      <c r="K99" s="166"/>
      <c r="L99" s="16"/>
    </row>
    <row r="100" spans="1:12" ht="15.75" customHeight="1" thickBot="1" x14ac:dyDescent="0.3">
      <c r="A100" s="24" t="s">
        <v>121</v>
      </c>
      <c r="B100" s="15"/>
      <c r="C100" s="16"/>
      <c r="D100" s="163">
        <f>SUM(B100*C$92)</f>
        <v>0</v>
      </c>
      <c r="E100" s="164"/>
      <c r="F100" s="165"/>
      <c r="G100" s="166"/>
      <c r="H100" s="16"/>
      <c r="I100" s="17"/>
      <c r="J100" s="165"/>
      <c r="K100" s="166"/>
      <c r="L100" s="16"/>
    </row>
    <row r="101" spans="1:12" ht="15.75" customHeight="1" thickBot="1" x14ac:dyDescent="0.3">
      <c r="A101" s="15" t="s">
        <v>122</v>
      </c>
      <c r="B101" s="15">
        <v>6</v>
      </c>
      <c r="C101" s="22" t="s">
        <v>109</v>
      </c>
      <c r="D101" s="163">
        <f t="shared" ref="D101:D115" si="1">SUM(B101*C$92)</f>
        <v>18</v>
      </c>
      <c r="E101" s="164"/>
      <c r="F101" s="165" t="s">
        <v>123</v>
      </c>
      <c r="G101" s="166"/>
      <c r="H101" s="16"/>
      <c r="I101" s="17"/>
      <c r="J101" s="165"/>
      <c r="K101" s="166"/>
      <c r="L101" s="16"/>
    </row>
    <row r="102" spans="1:12" ht="15.75" customHeight="1" thickBot="1" x14ac:dyDescent="0.3">
      <c r="A102" s="15" t="s">
        <v>124</v>
      </c>
      <c r="B102" s="15">
        <v>3.5</v>
      </c>
      <c r="C102" s="23" t="s">
        <v>109</v>
      </c>
      <c r="D102" s="163">
        <f t="shared" si="1"/>
        <v>10.5</v>
      </c>
      <c r="E102" s="164"/>
      <c r="F102" s="165"/>
      <c r="G102" s="166"/>
      <c r="H102" s="16"/>
      <c r="I102" s="17"/>
      <c r="J102" s="165"/>
      <c r="K102" s="166"/>
      <c r="L102" s="16"/>
    </row>
    <row r="103" spans="1:12" ht="15.75" customHeight="1" thickBot="1" x14ac:dyDescent="0.3">
      <c r="A103" s="15" t="s">
        <v>125</v>
      </c>
      <c r="B103" s="15">
        <v>9.5</v>
      </c>
      <c r="C103" s="19" t="s">
        <v>109</v>
      </c>
      <c r="D103" s="163">
        <f t="shared" ref="D103" si="2">SUM(B103*C$92)</f>
        <v>28.5</v>
      </c>
      <c r="E103" s="164"/>
      <c r="F103" s="165"/>
      <c r="G103" s="166"/>
      <c r="H103" s="16"/>
      <c r="I103" s="17"/>
      <c r="J103" s="165"/>
      <c r="K103" s="166"/>
      <c r="L103" s="16"/>
    </row>
    <row r="104" spans="1:12" ht="15.75" customHeight="1" thickBot="1" x14ac:dyDescent="0.3">
      <c r="A104" s="15"/>
      <c r="B104" s="15"/>
      <c r="C104" s="16"/>
      <c r="D104" s="163"/>
      <c r="E104" s="164"/>
      <c r="F104" s="165"/>
      <c r="G104" s="166"/>
      <c r="H104" s="16"/>
      <c r="I104" s="17"/>
      <c r="J104" s="165"/>
      <c r="K104" s="166"/>
      <c r="L104" s="16"/>
    </row>
    <row r="105" spans="1:12" ht="15.75" customHeight="1" thickBot="1" x14ac:dyDescent="0.3">
      <c r="A105" s="15"/>
      <c r="B105" s="15"/>
      <c r="C105" s="16"/>
      <c r="D105" s="163"/>
      <c r="E105" s="164"/>
      <c r="F105" s="165"/>
      <c r="G105" s="166"/>
      <c r="H105" s="16"/>
      <c r="I105" s="17"/>
      <c r="J105" s="165"/>
      <c r="K105" s="166"/>
      <c r="L105" s="16"/>
    </row>
    <row r="106" spans="1:12" ht="15.75" customHeight="1" thickBot="1" x14ac:dyDescent="0.3">
      <c r="A106" s="15"/>
      <c r="B106" s="15"/>
      <c r="C106" s="16"/>
      <c r="D106" s="163"/>
      <c r="E106" s="164"/>
      <c r="F106" s="165"/>
      <c r="G106" s="166"/>
      <c r="H106" s="16"/>
      <c r="I106" s="17"/>
      <c r="J106" s="165"/>
      <c r="K106" s="166"/>
      <c r="L106" s="16"/>
    </row>
    <row r="107" spans="1:12" ht="15.75" customHeight="1" thickBot="1" x14ac:dyDescent="0.3">
      <c r="A107" s="15"/>
      <c r="B107" s="15"/>
      <c r="C107" s="16"/>
      <c r="D107" s="163"/>
      <c r="E107" s="164"/>
      <c r="F107" s="165"/>
      <c r="G107" s="166"/>
      <c r="H107" s="16"/>
      <c r="I107" s="17"/>
      <c r="J107" s="165"/>
      <c r="K107" s="166"/>
      <c r="L107" s="16"/>
    </row>
    <row r="108" spans="1:12" ht="15.75" customHeight="1" thickBot="1" x14ac:dyDescent="0.3">
      <c r="A108" s="15"/>
      <c r="B108" s="15"/>
      <c r="C108" s="16"/>
      <c r="D108" s="163"/>
      <c r="E108" s="164"/>
      <c r="F108" s="165"/>
      <c r="G108" s="166"/>
      <c r="H108" s="16"/>
      <c r="I108" s="17"/>
      <c r="J108" s="165"/>
      <c r="K108" s="166"/>
      <c r="L108" s="16"/>
    </row>
    <row r="109" spans="1:12" ht="15.75" customHeight="1" thickBot="1" x14ac:dyDescent="0.3">
      <c r="A109" s="15"/>
      <c r="B109" s="15"/>
      <c r="C109" s="16"/>
      <c r="D109" s="163"/>
      <c r="E109" s="164"/>
      <c r="F109" s="165"/>
      <c r="G109" s="166"/>
      <c r="H109" s="16"/>
      <c r="I109" s="17"/>
      <c r="J109" s="165"/>
      <c r="K109" s="166"/>
      <c r="L109" s="16"/>
    </row>
    <row r="110" spans="1:12" ht="15.75" customHeight="1" thickBot="1" x14ac:dyDescent="0.3">
      <c r="A110" s="15"/>
      <c r="B110" s="15"/>
      <c r="C110" s="16"/>
      <c r="D110" s="163"/>
      <c r="E110" s="164"/>
      <c r="F110" s="165"/>
      <c r="G110" s="166"/>
      <c r="H110" s="16"/>
      <c r="I110" s="17"/>
      <c r="J110" s="165"/>
      <c r="K110" s="166"/>
      <c r="L110" s="16"/>
    </row>
    <row r="111" spans="1:12" ht="15.75" customHeight="1" thickBot="1" x14ac:dyDescent="0.3">
      <c r="A111" s="15"/>
      <c r="B111" s="15"/>
      <c r="C111" s="19"/>
      <c r="D111" s="163"/>
      <c r="E111" s="164"/>
      <c r="F111" s="165"/>
      <c r="G111" s="166"/>
      <c r="H111" s="16"/>
      <c r="I111" s="17"/>
      <c r="J111" s="165"/>
      <c r="K111" s="166"/>
      <c r="L111" s="16"/>
    </row>
    <row r="112" spans="1:12" ht="15.75" customHeight="1" thickBot="1" x14ac:dyDescent="0.3">
      <c r="A112" s="15"/>
      <c r="B112" s="15"/>
      <c r="C112" s="19"/>
      <c r="D112" s="163"/>
      <c r="E112" s="164"/>
      <c r="F112" s="165"/>
      <c r="G112" s="166"/>
      <c r="H112" s="16"/>
      <c r="I112" s="17"/>
      <c r="J112" s="165"/>
      <c r="K112" s="166"/>
      <c r="L112" s="16"/>
    </row>
    <row r="113" spans="1:12" ht="15.75" customHeight="1" thickBot="1" x14ac:dyDescent="0.3">
      <c r="A113" s="15"/>
      <c r="B113" s="15">
        <v>0</v>
      </c>
      <c r="C113" s="16"/>
      <c r="D113" s="163">
        <f t="shared" si="1"/>
        <v>0</v>
      </c>
      <c r="E113" s="164"/>
      <c r="F113" s="165"/>
      <c r="G113" s="166"/>
      <c r="H113" s="16"/>
      <c r="I113" s="17">
        <f>SUM(B113*H92)</f>
        <v>0</v>
      </c>
      <c r="J113" s="165"/>
      <c r="K113" s="166"/>
      <c r="L113" s="16"/>
    </row>
    <row r="114" spans="1:12" ht="15.75" customHeight="1" thickBot="1" x14ac:dyDescent="0.3">
      <c r="A114" s="15"/>
      <c r="B114" s="15">
        <v>0</v>
      </c>
      <c r="C114" s="16"/>
      <c r="D114" s="163">
        <f t="shared" si="1"/>
        <v>0</v>
      </c>
      <c r="E114" s="164"/>
      <c r="F114" s="165"/>
      <c r="G114" s="166"/>
      <c r="H114" s="16"/>
      <c r="I114" s="17">
        <f>SUM(B114*H92)</f>
        <v>0</v>
      </c>
      <c r="J114" s="165"/>
      <c r="K114" s="166"/>
      <c r="L114" s="16"/>
    </row>
    <row r="115" spans="1:12" ht="15.75" customHeight="1" thickBot="1" x14ac:dyDescent="0.3">
      <c r="A115" s="15"/>
      <c r="B115" s="15">
        <v>0</v>
      </c>
      <c r="C115" s="16"/>
      <c r="D115" s="163">
        <f t="shared" si="1"/>
        <v>0</v>
      </c>
      <c r="E115" s="164"/>
      <c r="F115" s="165" t="s">
        <v>52</v>
      </c>
      <c r="G115" s="166"/>
      <c r="H115" s="16"/>
      <c r="I115" s="17">
        <f>SUM(B115*H92)</f>
        <v>0</v>
      </c>
      <c r="J115" s="165"/>
      <c r="K115" s="166"/>
      <c r="L115" s="16"/>
    </row>
    <row r="116" spans="1:12" ht="15.75" customHeight="1" thickBot="1" x14ac:dyDescent="0.3">
      <c r="A116" s="15"/>
      <c r="B116" s="15">
        <v>0</v>
      </c>
      <c r="C116" s="16"/>
      <c r="D116" s="163">
        <f>SUM(B116*C92)</f>
        <v>0</v>
      </c>
      <c r="E116" s="164"/>
      <c r="F116" s="165"/>
      <c r="G116" s="166"/>
      <c r="H116" s="16"/>
      <c r="I116" s="17">
        <f>SUM(B116*H92)</f>
        <v>0</v>
      </c>
      <c r="J116" s="165"/>
      <c r="K116" s="166"/>
      <c r="L116" s="16"/>
    </row>
    <row r="117" spans="1:12" ht="15.75" customHeight="1" thickBot="1" x14ac:dyDescent="0.3">
      <c r="A117" s="15"/>
      <c r="B117" s="15">
        <v>0</v>
      </c>
      <c r="C117" s="16"/>
      <c r="D117" s="163">
        <f>SUM(B117*C92)</f>
        <v>0</v>
      </c>
      <c r="E117" s="164"/>
      <c r="F117" s="165"/>
      <c r="G117" s="166"/>
      <c r="H117" s="16"/>
      <c r="I117" s="17">
        <f>SUM(B117*H92)</f>
        <v>0</v>
      </c>
      <c r="J117" s="165"/>
      <c r="K117" s="166"/>
      <c r="L117" s="16"/>
    </row>
    <row r="118" spans="1:12" ht="15.75" customHeight="1" thickBot="1" x14ac:dyDescent="0.3">
      <c r="A118" s="15"/>
      <c r="B118" s="15">
        <v>0</v>
      </c>
      <c r="C118" s="16"/>
      <c r="D118" s="163">
        <f>SUM(B118*C92)</f>
        <v>0</v>
      </c>
      <c r="E118" s="164"/>
      <c r="F118" s="165"/>
      <c r="G118" s="166"/>
      <c r="H118" s="16"/>
      <c r="I118" s="17">
        <f>SUM(B118*H92)</f>
        <v>0</v>
      </c>
      <c r="J118" s="165"/>
      <c r="K118" s="166"/>
      <c r="L118" s="16"/>
    </row>
    <row r="119" spans="1:12" ht="15.75" customHeight="1" thickBot="1" x14ac:dyDescent="0.3">
      <c r="A119" s="15"/>
      <c r="B119" s="15">
        <v>0</v>
      </c>
      <c r="C119" s="16"/>
      <c r="D119" s="163">
        <f>SUM(B119*C92)</f>
        <v>0</v>
      </c>
      <c r="E119" s="164"/>
      <c r="F119" s="165"/>
      <c r="G119" s="166"/>
      <c r="H119" s="16"/>
      <c r="I119" s="17">
        <f>SUM(B119*H92)</f>
        <v>0</v>
      </c>
      <c r="J119" s="165"/>
      <c r="K119" s="166"/>
      <c r="L119" s="16"/>
    </row>
    <row r="120" spans="1:12" ht="15.75" customHeight="1" thickBot="1" x14ac:dyDescent="0.3">
      <c r="A120" s="15"/>
      <c r="B120" s="15">
        <v>0</v>
      </c>
      <c r="C120" s="16"/>
      <c r="D120" s="163">
        <f>SUM(B120*C92)</f>
        <v>0</v>
      </c>
      <c r="E120" s="164"/>
      <c r="F120" s="165"/>
      <c r="G120" s="166"/>
      <c r="H120" s="16"/>
      <c r="I120" s="17">
        <f>SUM(B120*H92)</f>
        <v>0</v>
      </c>
      <c r="J120" s="165"/>
      <c r="K120" s="166"/>
      <c r="L120" s="16"/>
    </row>
    <row r="121" spans="1:12" ht="15.75" customHeight="1" thickBot="1" x14ac:dyDescent="0.3">
      <c r="A121" s="15"/>
      <c r="B121" s="15">
        <v>0</v>
      </c>
      <c r="C121" s="16"/>
      <c r="D121" s="163">
        <f>SUM(B121*C92)</f>
        <v>0</v>
      </c>
      <c r="E121" s="164"/>
      <c r="F121" s="165"/>
      <c r="G121" s="166"/>
      <c r="H121" s="16"/>
      <c r="I121" s="17">
        <f>SUM(B121*H92)</f>
        <v>0</v>
      </c>
      <c r="J121" s="165"/>
      <c r="K121" s="166"/>
      <c r="L121" s="16"/>
    </row>
    <row r="122" spans="1:12" ht="15.75" customHeight="1" thickBot="1" x14ac:dyDescent="0.3">
      <c r="A122" s="15"/>
      <c r="B122" s="15">
        <v>0</v>
      </c>
      <c r="C122" s="16"/>
      <c r="D122" s="163">
        <f>SUM(B122*C92)</f>
        <v>0</v>
      </c>
      <c r="E122" s="164"/>
      <c r="F122" s="165"/>
      <c r="G122" s="166"/>
      <c r="H122" s="16"/>
      <c r="I122" s="17">
        <f>SUM(B122*H92)</f>
        <v>0</v>
      </c>
      <c r="J122" s="165"/>
      <c r="K122" s="166"/>
      <c r="L122" s="16"/>
    </row>
    <row r="123" spans="1:12" ht="15.75" customHeight="1" thickBot="1" x14ac:dyDescent="0.3">
      <c r="A123" s="15"/>
      <c r="B123" s="15">
        <v>0</v>
      </c>
      <c r="C123" s="16"/>
      <c r="D123" s="163">
        <f>SUM(B123*C92)</f>
        <v>0</v>
      </c>
      <c r="E123" s="164"/>
      <c r="F123" s="165"/>
      <c r="G123" s="166"/>
      <c r="H123" s="16"/>
      <c r="I123" s="17">
        <f>SUM(B123*H92)</f>
        <v>0</v>
      </c>
      <c r="J123" s="165"/>
      <c r="K123" s="166"/>
      <c r="L123" s="16"/>
    </row>
    <row r="124" spans="1:12" ht="15.75" customHeight="1" thickBot="1" x14ac:dyDescent="0.3">
      <c r="A124" s="15"/>
      <c r="B124" s="15">
        <v>0</v>
      </c>
      <c r="C124" s="16"/>
      <c r="D124" s="163">
        <f>SUM(B124*C92)</f>
        <v>0</v>
      </c>
      <c r="E124" s="164"/>
      <c r="F124" s="165"/>
      <c r="G124" s="166"/>
      <c r="H124" s="16"/>
      <c r="I124" s="17">
        <f>SUM(B124*H92)</f>
        <v>0</v>
      </c>
      <c r="J124" s="165"/>
      <c r="K124" s="166"/>
      <c r="L124" s="16"/>
    </row>
    <row r="125" spans="1:12" ht="15.75" customHeight="1" thickBot="1" x14ac:dyDescent="0.3">
      <c r="A125" s="15"/>
      <c r="B125" s="15">
        <v>0</v>
      </c>
      <c r="C125" s="16"/>
      <c r="D125" s="163">
        <f>SUM(B125*C92)</f>
        <v>0</v>
      </c>
      <c r="E125" s="164"/>
      <c r="F125" s="165"/>
      <c r="G125" s="166"/>
      <c r="H125" s="16"/>
      <c r="I125" s="17">
        <f>SUM(B125*H92)</f>
        <v>0</v>
      </c>
      <c r="J125" s="165"/>
      <c r="K125" s="166"/>
      <c r="L125" s="16"/>
    </row>
    <row r="126" spans="1:12" ht="15.75" customHeight="1" thickBot="1" x14ac:dyDescent="0.3">
      <c r="A126" s="15"/>
      <c r="B126" s="15">
        <v>0</v>
      </c>
      <c r="C126" s="16"/>
      <c r="D126" s="163">
        <f>SUM(B126*C92)</f>
        <v>0</v>
      </c>
      <c r="E126" s="164"/>
      <c r="F126" s="165"/>
      <c r="G126" s="166"/>
      <c r="H126" s="16"/>
      <c r="I126" s="17">
        <f>SUM(B126*H92)</f>
        <v>0</v>
      </c>
      <c r="J126" s="165"/>
      <c r="K126" s="166"/>
      <c r="L126" s="16"/>
    </row>
    <row r="127" spans="1:12" ht="15.75" customHeight="1" thickBot="1" x14ac:dyDescent="0.3">
      <c r="A127" s="15"/>
      <c r="B127" s="15">
        <v>0</v>
      </c>
      <c r="C127" s="16"/>
      <c r="D127" s="163">
        <f>SUM(B127*C92)</f>
        <v>0</v>
      </c>
      <c r="E127" s="164"/>
      <c r="F127" s="165"/>
      <c r="G127" s="166"/>
      <c r="H127" s="16"/>
      <c r="I127" s="17">
        <f>SUM(B127*H92)</f>
        <v>0</v>
      </c>
      <c r="J127" s="165"/>
      <c r="K127" s="166"/>
      <c r="L127" s="16"/>
    </row>
    <row r="128" spans="1:12" ht="15.75" customHeight="1" thickBot="1" x14ac:dyDescent="0.3">
      <c r="A128" s="7" t="s">
        <v>53</v>
      </c>
      <c r="B128" s="7" t="s">
        <v>16</v>
      </c>
      <c r="C128" s="7" t="s">
        <v>17</v>
      </c>
      <c r="D128" s="25" t="s">
        <v>18</v>
      </c>
      <c r="E128" s="26"/>
      <c r="F128" s="25" t="s">
        <v>54</v>
      </c>
      <c r="G128" s="26"/>
      <c r="H128" s="7" t="s">
        <v>27</v>
      </c>
      <c r="I128" s="7" t="s">
        <v>21</v>
      </c>
      <c r="J128" s="25" t="s">
        <v>54</v>
      </c>
      <c r="K128" s="26"/>
      <c r="L128" s="3" t="s">
        <v>36</v>
      </c>
    </row>
    <row r="129" spans="1:12" ht="15.75" customHeight="1" thickBot="1" x14ac:dyDescent="0.3">
      <c r="A129" s="15" t="s">
        <v>55</v>
      </c>
      <c r="B129" s="15">
        <v>1</v>
      </c>
      <c r="C129" s="16" t="s">
        <v>51</v>
      </c>
      <c r="D129" s="163">
        <f>SUM(B129*C92)</f>
        <v>3</v>
      </c>
      <c r="E129" s="164"/>
      <c r="F129" s="165"/>
      <c r="G129" s="166"/>
      <c r="H129" s="16"/>
      <c r="I129" s="17">
        <f>SUM(B129*H92)</f>
        <v>0</v>
      </c>
      <c r="J129" s="165"/>
      <c r="K129" s="166"/>
      <c r="L129" s="16"/>
    </row>
    <row r="130" spans="1:12" ht="15.75" customHeight="1" thickBot="1" x14ac:dyDescent="0.3">
      <c r="A130" s="15" t="s">
        <v>56</v>
      </c>
      <c r="B130" s="15">
        <v>0.03</v>
      </c>
      <c r="C130" s="16" t="s">
        <v>57</v>
      </c>
      <c r="D130" s="163">
        <f>SUM(B130*C92)</f>
        <v>0.09</v>
      </c>
      <c r="E130" s="164"/>
      <c r="F130" s="165"/>
      <c r="G130" s="166"/>
      <c r="H130" s="16"/>
      <c r="I130" s="17">
        <f>SUM(B130*H92)</f>
        <v>0</v>
      </c>
      <c r="J130" s="165"/>
      <c r="K130" s="166"/>
      <c r="L130" s="16"/>
    </row>
    <row r="131" spans="1:12" ht="15.75" customHeight="1" thickBot="1" x14ac:dyDescent="0.3">
      <c r="A131" s="15" t="s">
        <v>58</v>
      </c>
      <c r="B131" s="15">
        <v>0</v>
      </c>
      <c r="C131" s="16"/>
      <c r="D131" s="163">
        <f>SUM(B131*C92)</f>
        <v>0</v>
      </c>
      <c r="E131" s="164"/>
      <c r="F131" s="165"/>
      <c r="G131" s="166"/>
      <c r="H131" s="16"/>
      <c r="I131" s="17">
        <f>SUM(B131*H92)</f>
        <v>0</v>
      </c>
      <c r="J131" s="165"/>
      <c r="K131" s="166"/>
      <c r="L131" s="16"/>
    </row>
    <row r="132" spans="1:12" ht="15.75" customHeight="1" thickBot="1" x14ac:dyDescent="0.3">
      <c r="A132" s="15" t="s">
        <v>59</v>
      </c>
      <c r="B132" s="15">
        <v>0.12</v>
      </c>
      <c r="C132" s="16" t="s">
        <v>57</v>
      </c>
      <c r="D132" s="163">
        <f>SUM(B132*C92)</f>
        <v>0.36</v>
      </c>
      <c r="E132" s="164"/>
      <c r="F132" s="165"/>
      <c r="G132" s="166"/>
      <c r="H132" s="16"/>
      <c r="I132" s="17">
        <f>SUM(B132*H92)</f>
        <v>0</v>
      </c>
      <c r="J132" s="165"/>
      <c r="K132" s="166"/>
      <c r="L132" s="16"/>
    </row>
    <row r="133" spans="1:12" ht="15.75" customHeight="1" thickBot="1" x14ac:dyDescent="0.3">
      <c r="A133" s="15"/>
      <c r="B133" s="15"/>
      <c r="C133" s="16"/>
      <c r="D133" s="163">
        <f>SUM(B133*C92)</f>
        <v>0</v>
      </c>
      <c r="E133" s="164"/>
      <c r="F133" s="165"/>
      <c r="G133" s="166"/>
      <c r="H133" s="16"/>
      <c r="I133" s="17">
        <f>SUM(B133*H92)</f>
        <v>0</v>
      </c>
      <c r="J133" s="165"/>
      <c r="K133" s="166"/>
      <c r="L133" s="16"/>
    </row>
    <row r="134" spans="1:12" ht="15.75" customHeight="1" thickBot="1" x14ac:dyDescent="0.3">
      <c r="A134" s="16"/>
      <c r="B134" s="15">
        <v>0</v>
      </c>
      <c r="C134" s="16"/>
      <c r="D134" s="163">
        <f>SUM(B134*C92)</f>
        <v>0</v>
      </c>
      <c r="E134" s="164"/>
      <c r="F134" s="165"/>
      <c r="G134" s="166"/>
      <c r="H134" s="16"/>
      <c r="I134" s="17">
        <f>SUM(B134*H92)</f>
        <v>0</v>
      </c>
      <c r="J134" s="165"/>
      <c r="K134" s="166"/>
      <c r="L134" s="16"/>
    </row>
    <row r="135" spans="1:12" ht="15.75" customHeight="1" thickBot="1" x14ac:dyDescent="0.3">
      <c r="A135" s="16"/>
      <c r="B135" s="15">
        <v>0</v>
      </c>
      <c r="C135" s="16"/>
      <c r="D135" s="163">
        <f>SUM(B135*C92)</f>
        <v>0</v>
      </c>
      <c r="E135" s="164"/>
      <c r="F135" s="165"/>
      <c r="G135" s="166"/>
      <c r="H135" s="16"/>
      <c r="I135" s="17">
        <f>SUM(B135*H92)</f>
        <v>0</v>
      </c>
      <c r="J135" s="165"/>
      <c r="K135" s="166"/>
      <c r="L135" s="16"/>
    </row>
    <row r="136" spans="1:12" ht="15.75" customHeight="1" thickBot="1" x14ac:dyDescent="0.3">
      <c r="A136" s="16"/>
      <c r="B136" s="15">
        <v>0</v>
      </c>
      <c r="C136" s="16"/>
      <c r="D136" s="163">
        <f>SUM(B136*C92)</f>
        <v>0</v>
      </c>
      <c r="E136" s="164"/>
      <c r="F136" s="165"/>
      <c r="G136" s="166"/>
      <c r="H136" s="16"/>
      <c r="I136" s="17">
        <f>SUM(B136*H92)</f>
        <v>0</v>
      </c>
      <c r="J136" s="165"/>
      <c r="K136" s="166"/>
      <c r="L136" s="16"/>
    </row>
    <row r="137" spans="1:12" ht="15.75" customHeight="1" thickBot="1" x14ac:dyDescent="0.3">
      <c r="A137" s="16"/>
      <c r="B137" s="15">
        <v>0</v>
      </c>
      <c r="C137" s="16"/>
      <c r="D137" s="163">
        <f>SUM(B137*C92)</f>
        <v>0</v>
      </c>
      <c r="E137" s="164"/>
      <c r="F137" s="165"/>
      <c r="G137" s="166"/>
      <c r="H137" s="16"/>
      <c r="I137" s="17">
        <f>SUM(B137*H92)</f>
        <v>0</v>
      </c>
      <c r="J137" s="165"/>
      <c r="K137" s="166"/>
      <c r="L137" s="16"/>
    </row>
    <row r="138" spans="1:12" ht="15.75" customHeight="1" thickBot="1" x14ac:dyDescent="0.3">
      <c r="A138" s="16"/>
      <c r="B138" s="15">
        <v>0</v>
      </c>
      <c r="C138" s="16"/>
      <c r="D138" s="163">
        <f>SUM(B138*C92)</f>
        <v>0</v>
      </c>
      <c r="E138" s="164"/>
      <c r="F138" s="165"/>
      <c r="G138" s="166"/>
      <c r="H138" s="16"/>
      <c r="I138" s="17">
        <f>SUM(B138*H92)</f>
        <v>0</v>
      </c>
      <c r="J138" s="165"/>
      <c r="K138" s="166"/>
      <c r="L138" s="16"/>
    </row>
    <row r="139" spans="1:12" ht="15.75" customHeight="1" thickBot="1" x14ac:dyDescent="0.3">
      <c r="A139" s="7" t="s">
        <v>60</v>
      </c>
      <c r="B139" s="7" t="s">
        <v>16</v>
      </c>
      <c r="C139" s="7" t="s">
        <v>17</v>
      </c>
      <c r="D139" s="25" t="s">
        <v>18</v>
      </c>
      <c r="E139" s="26"/>
      <c r="F139" s="25" t="s">
        <v>54</v>
      </c>
      <c r="G139" s="26"/>
      <c r="H139" s="7" t="s">
        <v>27</v>
      </c>
      <c r="I139" s="7" t="s">
        <v>21</v>
      </c>
      <c r="J139" s="25" t="s">
        <v>54</v>
      </c>
      <c r="K139" s="26"/>
      <c r="L139" s="3" t="s">
        <v>36</v>
      </c>
    </row>
    <row r="140" spans="1:12" ht="15.75" customHeight="1" thickBot="1" x14ac:dyDescent="0.3">
      <c r="A140" s="15"/>
      <c r="B140" s="15"/>
      <c r="C140" s="16"/>
      <c r="D140" s="163">
        <f>SUM(B140*C92)</f>
        <v>0</v>
      </c>
      <c r="E140" s="164"/>
      <c r="F140" s="165"/>
      <c r="G140" s="166"/>
      <c r="H140" s="16"/>
      <c r="I140" s="17">
        <f>SUM(B140*H92)</f>
        <v>0</v>
      </c>
      <c r="J140" s="165"/>
      <c r="K140" s="166"/>
      <c r="L140" s="16"/>
    </row>
    <row r="141" spans="1:12" ht="15.75" customHeight="1" thickBot="1" x14ac:dyDescent="0.3">
      <c r="A141" s="15"/>
      <c r="B141" s="15"/>
      <c r="C141" s="16"/>
      <c r="D141" s="163">
        <f>SUM(B141*C92)</f>
        <v>0</v>
      </c>
      <c r="E141" s="164"/>
      <c r="F141" s="165"/>
      <c r="G141" s="166"/>
      <c r="H141" s="16"/>
      <c r="I141" s="17">
        <f>SUM(B141*H92)</f>
        <v>0</v>
      </c>
      <c r="J141" s="165"/>
      <c r="K141" s="166"/>
      <c r="L141" s="16"/>
    </row>
    <row r="142" spans="1:12" ht="15.75" customHeight="1" thickBot="1" x14ac:dyDescent="0.3">
      <c r="A142" s="16"/>
      <c r="B142" s="15"/>
      <c r="C142" s="16"/>
      <c r="D142" s="163">
        <f>SUM(B142*C92)</f>
        <v>0</v>
      </c>
      <c r="E142" s="164"/>
      <c r="F142" s="165"/>
      <c r="G142" s="166"/>
      <c r="H142" s="16"/>
      <c r="I142" s="17">
        <f>SUM(B142*H92)</f>
        <v>0</v>
      </c>
      <c r="J142" s="165"/>
      <c r="K142" s="166"/>
      <c r="L142" s="16"/>
    </row>
    <row r="143" spans="1:12" ht="15.75" customHeight="1" thickBot="1" x14ac:dyDescent="0.3">
      <c r="A143" s="16"/>
      <c r="B143" s="15">
        <v>0</v>
      </c>
      <c r="C143" s="16"/>
      <c r="D143" s="163">
        <f>SUM(B143*C92)</f>
        <v>0</v>
      </c>
      <c r="E143" s="164"/>
      <c r="F143" s="165"/>
      <c r="G143" s="166"/>
      <c r="H143" s="16"/>
      <c r="I143" s="17">
        <f>SUM(B143*H92)</f>
        <v>0</v>
      </c>
      <c r="J143" s="165"/>
      <c r="K143" s="166"/>
      <c r="L143" s="16"/>
    </row>
    <row r="144" spans="1:12" ht="15.75" customHeight="1" thickBot="1" x14ac:dyDescent="0.3">
      <c r="A144" s="16"/>
      <c r="B144" s="15">
        <v>0</v>
      </c>
      <c r="C144" s="16"/>
      <c r="D144" s="163">
        <f>SUM(B144*C92)</f>
        <v>0</v>
      </c>
      <c r="E144" s="164"/>
      <c r="F144" s="165"/>
      <c r="G144" s="166"/>
      <c r="H144" s="16"/>
      <c r="I144" s="17">
        <f>SUM(B144*H92)</f>
        <v>0</v>
      </c>
      <c r="J144" s="165"/>
      <c r="K144" s="166"/>
      <c r="L144" s="16"/>
    </row>
    <row r="145" spans="1:12" ht="15.75" customHeight="1" thickBot="1" x14ac:dyDescent="0.3">
      <c r="A145" s="7" t="s">
        <v>61</v>
      </c>
      <c r="B145" s="7" t="s">
        <v>16</v>
      </c>
      <c r="C145" s="7" t="s">
        <v>17</v>
      </c>
      <c r="D145" s="25" t="s">
        <v>18</v>
      </c>
      <c r="E145" s="26"/>
      <c r="F145" s="25" t="s">
        <v>54</v>
      </c>
      <c r="G145" s="26"/>
      <c r="H145" s="7" t="s">
        <v>27</v>
      </c>
      <c r="I145" s="7" t="s">
        <v>21</v>
      </c>
      <c r="J145" s="25" t="s">
        <v>54</v>
      </c>
      <c r="K145" s="26"/>
      <c r="L145" s="3" t="s">
        <v>36</v>
      </c>
    </row>
    <row r="146" spans="1:12" ht="15.75" customHeight="1" thickBot="1" x14ac:dyDescent="0.3">
      <c r="A146" s="15"/>
      <c r="B146" s="15"/>
      <c r="C146" s="16"/>
      <c r="D146" s="163">
        <f>SUM(B146*C92)</f>
        <v>0</v>
      </c>
      <c r="E146" s="164"/>
      <c r="F146" s="165"/>
      <c r="G146" s="166"/>
      <c r="H146" s="16" t="s">
        <v>20</v>
      </c>
      <c r="I146" s="17">
        <f>SUM(B146*H92)</f>
        <v>0</v>
      </c>
      <c r="J146" s="165"/>
      <c r="K146" s="166"/>
      <c r="L146" s="16"/>
    </row>
    <row r="147" spans="1:12" ht="15.75" customHeight="1" thickBot="1" x14ac:dyDescent="0.3">
      <c r="A147" s="15"/>
      <c r="B147" s="15">
        <v>0</v>
      </c>
      <c r="C147" s="16"/>
      <c r="D147" s="163">
        <f>SUM(B147*C92)</f>
        <v>0</v>
      </c>
      <c r="E147" s="164"/>
      <c r="F147" s="165"/>
      <c r="G147" s="166"/>
      <c r="H147" s="16"/>
      <c r="I147" s="17">
        <f>SUM(B147*H92)</f>
        <v>0</v>
      </c>
      <c r="J147" s="165"/>
      <c r="K147" s="166"/>
      <c r="L147" s="16"/>
    </row>
    <row r="148" spans="1:12" ht="15" customHeight="1" x14ac:dyDescent="0.25">
      <c r="A148" s="167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9"/>
    </row>
    <row r="149" spans="1:12" ht="15" customHeight="1" x14ac:dyDescent="0.25">
      <c r="A149" s="170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2"/>
    </row>
    <row r="150" spans="1:12" ht="15" customHeight="1" x14ac:dyDescent="0.25">
      <c r="A150" s="170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2"/>
    </row>
    <row r="151" spans="1:12" ht="15" customHeight="1" x14ac:dyDescent="0.25">
      <c r="A151" s="170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2"/>
    </row>
    <row r="152" spans="1:12" ht="15" customHeight="1" x14ac:dyDescent="0.25">
      <c r="A152" s="170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2"/>
    </row>
    <row r="153" spans="1:12" ht="15" customHeight="1" x14ac:dyDescent="0.25">
      <c r="A153" s="170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2"/>
    </row>
    <row r="154" spans="1:12" ht="15" customHeight="1" x14ac:dyDescent="0.25">
      <c r="A154" s="170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2"/>
    </row>
    <row r="155" spans="1:12" ht="15" customHeight="1" x14ac:dyDescent="0.25">
      <c r="A155" s="170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2"/>
    </row>
    <row r="156" spans="1:12" ht="15" customHeight="1" x14ac:dyDescent="0.25">
      <c r="A156" s="170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2"/>
    </row>
    <row r="157" spans="1:12" ht="15" customHeight="1" x14ac:dyDescent="0.25">
      <c r="A157" s="170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2"/>
    </row>
    <row r="158" spans="1:12" ht="15" customHeight="1" x14ac:dyDescent="0.25">
      <c r="A158" s="170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2"/>
    </row>
    <row r="159" spans="1:12" ht="15" customHeight="1" x14ac:dyDescent="0.25">
      <c r="A159" s="170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2"/>
    </row>
    <row r="160" spans="1:12" ht="15" customHeight="1" x14ac:dyDescent="0.25">
      <c r="A160" s="170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2"/>
    </row>
    <row r="161" spans="1:12" ht="42.75" customHeight="1" thickBot="1" x14ac:dyDescent="0.3">
      <c r="A161" s="170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2"/>
    </row>
    <row r="162" spans="1:12" x14ac:dyDescent="0.25">
      <c r="A162" s="58" t="str">
        <f>A1</f>
        <v xml:space="preserve">LS 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60"/>
    </row>
    <row r="163" spans="1:12" x14ac:dyDescent="0.25">
      <c r="A163" s="173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5"/>
    </row>
    <row r="164" spans="1:12" ht="4.5" customHeight="1" thickBot="1" x14ac:dyDescent="0.3">
      <c r="A164" s="61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3"/>
    </row>
    <row r="165" spans="1:12" ht="15" customHeight="1" x14ac:dyDescent="0.25">
      <c r="A165" s="58" t="s">
        <v>62</v>
      </c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60"/>
    </row>
    <row r="166" spans="1:12" ht="15.75" customHeight="1" thickBot="1" x14ac:dyDescent="0.3">
      <c r="A166" s="61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3"/>
    </row>
    <row r="167" spans="1:12" ht="15.75" thickBot="1" x14ac:dyDescent="0.3">
      <c r="A167" s="1" t="str">
        <f t="shared" ref="A167:B169" si="3">A6</f>
        <v xml:space="preserve">CLIENTE: SENAC </v>
      </c>
      <c r="B167" s="64" t="str">
        <f t="shared" si="3"/>
        <v>REPRESENTANTE: ANTONIO</v>
      </c>
      <c r="C167" s="65"/>
      <c r="D167" s="65"/>
      <c r="E167" s="65"/>
      <c r="F167" s="66"/>
      <c r="G167" s="64" t="str">
        <f>G6</f>
        <v>PEDIDO: 16/26</v>
      </c>
      <c r="H167" s="65"/>
      <c r="I167" s="66"/>
      <c r="J167" s="25" t="str">
        <f>J6</f>
        <v xml:space="preserve">QTD. MOSTR. LS </v>
      </c>
      <c r="K167" s="27"/>
      <c r="L167" s="26"/>
    </row>
    <row r="168" spans="1:12" ht="15.75" thickBot="1" x14ac:dyDescent="0.3">
      <c r="A168" s="2" t="str">
        <f t="shared" si="3"/>
        <v xml:space="preserve">REF. CLIENTE:   </v>
      </c>
      <c r="B168" s="64" t="str">
        <f>B7</f>
        <v>REF. SAC LS  -  05</v>
      </c>
      <c r="C168" s="65"/>
      <c r="D168" s="65"/>
      <c r="E168" s="65"/>
      <c r="F168" s="66"/>
      <c r="G168" s="64" t="str">
        <f>G7</f>
        <v>COLECAO : VERÃO /2026</v>
      </c>
      <c r="H168" s="65"/>
      <c r="I168" s="66"/>
      <c r="J168" s="58">
        <f>J7</f>
        <v>0</v>
      </c>
      <c r="K168" s="59"/>
      <c r="L168" s="60"/>
    </row>
    <row r="169" spans="1:12" ht="15.75" thickBot="1" x14ac:dyDescent="0.3">
      <c r="A169" s="2" t="str">
        <f t="shared" si="3"/>
        <v xml:space="preserve">REF:  ls :  KIT SENAC - 4 PEÇAS </v>
      </c>
      <c r="B169" s="64" t="str">
        <f t="shared" si="3"/>
        <v xml:space="preserve">MODELO: ORGANIZADOR - NECESSAIRE </v>
      </c>
      <c r="C169" s="65"/>
      <c r="D169" s="65"/>
      <c r="E169" s="65"/>
      <c r="F169" s="65"/>
      <c r="G169" s="65"/>
      <c r="H169" s="65"/>
      <c r="I169" s="66"/>
      <c r="J169" s="61"/>
      <c r="K169" s="62"/>
      <c r="L169" s="63"/>
    </row>
    <row r="170" spans="1:12" ht="15.75" thickBot="1" x14ac:dyDescent="0.3">
      <c r="A170" s="25" t="s">
        <v>15</v>
      </c>
      <c r="B170" s="141"/>
      <c r="C170" s="14" t="s">
        <v>17</v>
      </c>
      <c r="D170" s="139" t="s">
        <v>27</v>
      </c>
      <c r="E170" s="141"/>
      <c r="F170" s="25" t="s">
        <v>15</v>
      </c>
      <c r="G170" s="27"/>
      <c r="H170" s="27"/>
      <c r="I170" s="27"/>
      <c r="J170" s="26"/>
      <c r="K170" s="14" t="s">
        <v>17</v>
      </c>
      <c r="L170" s="2" t="s">
        <v>27</v>
      </c>
    </row>
    <row r="171" spans="1:12" x14ac:dyDescent="0.25">
      <c r="A171" s="176" t="str">
        <f>A16</f>
        <v>Cor 1 - LONITA 140</v>
      </c>
      <c r="B171" s="177"/>
      <c r="C171" s="75" t="str">
        <f>C16</f>
        <v xml:space="preserve">PRETA </v>
      </c>
      <c r="D171" s="167">
        <f>H16</f>
        <v>0</v>
      </c>
      <c r="E171" s="169"/>
      <c r="F171" s="176"/>
      <c r="G171" s="182"/>
      <c r="H171" s="182"/>
      <c r="I171" s="182"/>
      <c r="J171" s="177"/>
      <c r="K171" s="184">
        <f>C28</f>
        <v>0</v>
      </c>
      <c r="L171" s="184">
        <f>H28</f>
        <v>0</v>
      </c>
    </row>
    <row r="172" spans="1:12" ht="15.75" thickBot="1" x14ac:dyDescent="0.3">
      <c r="A172" s="178"/>
      <c r="B172" s="179"/>
      <c r="C172" s="76"/>
      <c r="D172" s="180"/>
      <c r="E172" s="181"/>
      <c r="F172" s="178"/>
      <c r="G172" s="183"/>
      <c r="H172" s="183"/>
      <c r="I172" s="183"/>
      <c r="J172" s="179"/>
      <c r="K172" s="185"/>
      <c r="L172" s="185"/>
    </row>
    <row r="173" spans="1:12" x14ac:dyDescent="0.25">
      <c r="A173" s="176" t="str">
        <f>A18</f>
        <v xml:space="preserve">COR 2- MICROFIBRA </v>
      </c>
      <c r="B173" s="177"/>
      <c r="C173" s="75" t="str">
        <f>C18</f>
        <v xml:space="preserve">PRETA </v>
      </c>
      <c r="D173" s="167">
        <f>H18</f>
        <v>0</v>
      </c>
      <c r="E173" s="169"/>
      <c r="F173" s="176">
        <f>A30</f>
        <v>0</v>
      </c>
      <c r="G173" s="182"/>
      <c r="H173" s="182"/>
      <c r="I173" s="182"/>
      <c r="J173" s="177"/>
      <c r="K173" s="184">
        <f>C30</f>
        <v>0</v>
      </c>
      <c r="L173" s="184">
        <f>H30</f>
        <v>0</v>
      </c>
    </row>
    <row r="174" spans="1:12" ht="15.75" thickBot="1" x14ac:dyDescent="0.3">
      <c r="A174" s="178"/>
      <c r="B174" s="179"/>
      <c r="C174" s="76"/>
      <c r="D174" s="180"/>
      <c r="E174" s="181"/>
      <c r="F174" s="178"/>
      <c r="G174" s="183"/>
      <c r="H174" s="183"/>
      <c r="I174" s="183"/>
      <c r="J174" s="179"/>
      <c r="K174" s="185"/>
      <c r="L174" s="185"/>
    </row>
    <row r="175" spans="1:12" x14ac:dyDescent="0.25">
      <c r="A175" s="176">
        <f>A20</f>
        <v>0</v>
      </c>
      <c r="B175" s="177"/>
      <c r="C175" s="75">
        <f>C20</f>
        <v>0</v>
      </c>
      <c r="D175" s="167">
        <f>H20</f>
        <v>0</v>
      </c>
      <c r="E175" s="169"/>
      <c r="F175" s="176">
        <f>A32</f>
        <v>0</v>
      </c>
      <c r="G175" s="182"/>
      <c r="H175" s="182"/>
      <c r="I175" s="182"/>
      <c r="J175" s="177"/>
      <c r="K175" s="184">
        <f>C32</f>
        <v>0</v>
      </c>
      <c r="L175" s="184">
        <f>H32</f>
        <v>0</v>
      </c>
    </row>
    <row r="176" spans="1:12" ht="15.75" thickBot="1" x14ac:dyDescent="0.3">
      <c r="A176" s="178"/>
      <c r="B176" s="179"/>
      <c r="C176" s="76"/>
      <c r="D176" s="180"/>
      <c r="E176" s="181"/>
      <c r="F176" s="178"/>
      <c r="G176" s="183"/>
      <c r="H176" s="183"/>
      <c r="I176" s="183"/>
      <c r="J176" s="179"/>
      <c r="K176" s="185"/>
      <c r="L176" s="185"/>
    </row>
    <row r="177" spans="1:12" x14ac:dyDescent="0.25">
      <c r="A177" s="176">
        <f>A22</f>
        <v>0</v>
      </c>
      <c r="B177" s="177"/>
      <c r="C177" s="75">
        <f>C22</f>
        <v>0</v>
      </c>
      <c r="D177" s="167">
        <f>H22</f>
        <v>0</v>
      </c>
      <c r="E177" s="169"/>
      <c r="F177" s="176">
        <f>A34</f>
        <v>0</v>
      </c>
      <c r="G177" s="182"/>
      <c r="H177" s="182"/>
      <c r="I177" s="182"/>
      <c r="J177" s="177"/>
      <c r="K177" s="184">
        <f>C34</f>
        <v>0</v>
      </c>
      <c r="L177" s="184">
        <f>H34</f>
        <v>0</v>
      </c>
    </row>
    <row r="178" spans="1:12" ht="15.75" thickBot="1" x14ac:dyDescent="0.3">
      <c r="A178" s="178"/>
      <c r="B178" s="179"/>
      <c r="C178" s="76"/>
      <c r="D178" s="180"/>
      <c r="E178" s="181"/>
      <c r="F178" s="178"/>
      <c r="G178" s="183"/>
      <c r="H178" s="183"/>
      <c r="I178" s="183"/>
      <c r="J178" s="179"/>
      <c r="K178" s="185"/>
      <c r="L178" s="185"/>
    </row>
    <row r="179" spans="1:12" x14ac:dyDescent="0.25">
      <c r="A179" s="176">
        <f>A24</f>
        <v>0</v>
      </c>
      <c r="B179" s="177"/>
      <c r="C179" s="75">
        <f>C24</f>
        <v>0</v>
      </c>
      <c r="D179" s="167">
        <f>H24</f>
        <v>0</v>
      </c>
      <c r="E179" s="169"/>
      <c r="F179" s="176">
        <f>A36</f>
        <v>0</v>
      </c>
      <c r="G179" s="182"/>
      <c r="H179" s="182"/>
      <c r="I179" s="182"/>
      <c r="J179" s="177"/>
      <c r="K179" s="184">
        <f>C36</f>
        <v>0</v>
      </c>
      <c r="L179" s="184">
        <f>H36</f>
        <v>0</v>
      </c>
    </row>
    <row r="180" spans="1:12" ht="15.75" thickBot="1" x14ac:dyDescent="0.3">
      <c r="A180" s="178"/>
      <c r="B180" s="179"/>
      <c r="C180" s="76"/>
      <c r="D180" s="180"/>
      <c r="E180" s="181"/>
      <c r="F180" s="178"/>
      <c r="G180" s="183"/>
      <c r="H180" s="183"/>
      <c r="I180" s="183"/>
      <c r="J180" s="179"/>
      <c r="K180" s="185"/>
      <c r="L180" s="185"/>
    </row>
    <row r="181" spans="1:12" x14ac:dyDescent="0.25">
      <c r="A181" s="176">
        <f>A26</f>
        <v>0</v>
      </c>
      <c r="B181" s="177"/>
      <c r="C181" s="75">
        <f>C26</f>
        <v>0</v>
      </c>
      <c r="D181" s="167">
        <f>H26</f>
        <v>0</v>
      </c>
      <c r="E181" s="169"/>
      <c r="F181" s="176">
        <f>A38</f>
        <v>0</v>
      </c>
      <c r="G181" s="182"/>
      <c r="H181" s="182"/>
      <c r="I181" s="182"/>
      <c r="J181" s="177"/>
      <c r="K181" s="184">
        <f>C38</f>
        <v>0</v>
      </c>
      <c r="L181" s="184">
        <f>H38</f>
        <v>0</v>
      </c>
    </row>
    <row r="182" spans="1:12" ht="15.75" thickBot="1" x14ac:dyDescent="0.3">
      <c r="A182" s="178"/>
      <c r="B182" s="179"/>
      <c r="C182" s="76"/>
      <c r="D182" s="180"/>
      <c r="E182" s="181"/>
      <c r="F182" s="178"/>
      <c r="G182" s="183"/>
      <c r="H182" s="183"/>
      <c r="I182" s="183"/>
      <c r="J182" s="179"/>
      <c r="K182" s="185"/>
      <c r="L182" s="185"/>
    </row>
    <row r="183" spans="1:12" x14ac:dyDescent="0.25">
      <c r="A183" s="58" t="s">
        <v>22</v>
      </c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60"/>
    </row>
    <row r="184" spans="1:12" ht="15.75" thickBot="1" x14ac:dyDescent="0.3">
      <c r="A184" s="61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3"/>
    </row>
    <row r="185" spans="1:12" ht="15" customHeight="1" thickBot="1" x14ac:dyDescent="0.35">
      <c r="A185" s="87" t="s">
        <v>23</v>
      </c>
      <c r="B185" s="37" t="s">
        <v>24</v>
      </c>
      <c r="C185" s="38"/>
      <c r="D185" s="38"/>
      <c r="E185" s="39"/>
      <c r="F185" s="89" t="s">
        <v>25</v>
      </c>
      <c r="G185" s="90"/>
      <c r="H185" s="91"/>
      <c r="I185" s="95" t="s">
        <v>26</v>
      </c>
      <c r="J185" s="96"/>
      <c r="K185" s="96"/>
      <c r="L185" s="97"/>
    </row>
    <row r="186" spans="1:12" ht="15.75" customHeight="1" thickBot="1" x14ac:dyDescent="0.3">
      <c r="A186" s="88"/>
      <c r="B186" s="40"/>
      <c r="C186" s="41"/>
      <c r="D186" s="41"/>
      <c r="E186" s="42"/>
      <c r="F186" s="92"/>
      <c r="G186" s="93"/>
      <c r="H186" s="94"/>
      <c r="I186" s="98" t="s">
        <v>17</v>
      </c>
      <c r="J186" s="99"/>
      <c r="K186" s="100" t="s">
        <v>27</v>
      </c>
      <c r="L186" s="99"/>
    </row>
    <row r="187" spans="1:12" ht="15" customHeight="1" x14ac:dyDescent="0.25">
      <c r="A187" s="115"/>
      <c r="B187" s="103"/>
      <c r="C187" s="104"/>
      <c r="D187" s="104"/>
      <c r="E187" s="105"/>
      <c r="F187" s="109"/>
      <c r="G187" s="110"/>
      <c r="H187" s="111"/>
      <c r="I187" s="109"/>
      <c r="J187" s="111"/>
      <c r="K187" s="110"/>
      <c r="L187" s="111"/>
    </row>
    <row r="188" spans="1:12" ht="15.75" customHeight="1" thickBot="1" x14ac:dyDescent="0.3">
      <c r="A188" s="116"/>
      <c r="B188" s="106"/>
      <c r="C188" s="107"/>
      <c r="D188" s="107"/>
      <c r="E188" s="108"/>
      <c r="F188" s="112"/>
      <c r="G188" s="113"/>
      <c r="H188" s="114"/>
      <c r="I188" s="112"/>
      <c r="J188" s="114"/>
      <c r="K188" s="113"/>
      <c r="L188" s="114"/>
    </row>
    <row r="189" spans="1:12" ht="15" customHeight="1" x14ac:dyDescent="0.25">
      <c r="A189" s="115">
        <f>A46</f>
        <v>0</v>
      </c>
      <c r="B189" s="103"/>
      <c r="C189" s="104"/>
      <c r="D189" s="104"/>
      <c r="E189" s="105"/>
      <c r="F189" s="109">
        <f>F46</f>
        <v>0</v>
      </c>
      <c r="G189" s="110"/>
      <c r="H189" s="111"/>
      <c r="I189" s="109"/>
      <c r="J189" s="111"/>
      <c r="K189" s="110"/>
      <c r="L189" s="111"/>
    </row>
    <row r="190" spans="1:12" ht="15.75" customHeight="1" thickBot="1" x14ac:dyDescent="0.3">
      <c r="A190" s="116"/>
      <c r="B190" s="106"/>
      <c r="C190" s="107"/>
      <c r="D190" s="107"/>
      <c r="E190" s="108"/>
      <c r="F190" s="112"/>
      <c r="G190" s="113"/>
      <c r="H190" s="114"/>
      <c r="I190" s="112"/>
      <c r="J190" s="114"/>
      <c r="K190" s="113"/>
      <c r="L190" s="114"/>
    </row>
    <row r="191" spans="1:12" ht="15" customHeight="1" x14ac:dyDescent="0.25">
      <c r="A191" s="58" t="str">
        <f>A48</f>
        <v>CORTE PLACAS</v>
      </c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60"/>
    </row>
    <row r="192" spans="1:12" ht="15.75" customHeight="1" thickBot="1" x14ac:dyDescent="0.3">
      <c r="A192" s="61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3"/>
    </row>
    <row r="193" spans="1:12" ht="15" customHeight="1" thickBot="1" x14ac:dyDescent="0.35">
      <c r="A193" s="87" t="str">
        <f>A50</f>
        <v>COR</v>
      </c>
      <c r="B193" s="37" t="str">
        <f>B50</f>
        <v>MOLDE Nº / ALTURA</v>
      </c>
      <c r="C193" s="38"/>
      <c r="D193" s="38"/>
      <c r="E193" s="39"/>
      <c r="F193" s="186" t="str">
        <f>F50</f>
        <v>QTD. MOCH. POR PLC</v>
      </c>
      <c r="G193" s="187"/>
      <c r="H193" s="188"/>
      <c r="I193" s="95" t="s">
        <v>31</v>
      </c>
      <c r="J193" s="96"/>
      <c r="K193" s="96"/>
      <c r="L193" s="97"/>
    </row>
    <row r="194" spans="1:12" ht="15.75" customHeight="1" thickBot="1" x14ac:dyDescent="0.3">
      <c r="A194" s="88"/>
      <c r="B194" s="40"/>
      <c r="C194" s="41"/>
      <c r="D194" s="41"/>
      <c r="E194" s="42"/>
      <c r="F194" s="189"/>
      <c r="G194" s="190"/>
      <c r="H194" s="191"/>
      <c r="I194" s="98" t="s">
        <v>17</v>
      </c>
      <c r="J194" s="99"/>
      <c r="K194" s="100" t="s">
        <v>27</v>
      </c>
      <c r="L194" s="99"/>
    </row>
    <row r="195" spans="1:12" ht="15" customHeight="1" x14ac:dyDescent="0.25">
      <c r="A195" s="115">
        <f>A52</f>
        <v>0</v>
      </c>
      <c r="B195" s="103">
        <f>B52</f>
        <v>0</v>
      </c>
      <c r="C195" s="104"/>
      <c r="D195" s="104"/>
      <c r="E195" s="105"/>
      <c r="F195" s="109">
        <v>0</v>
      </c>
      <c r="G195" s="110"/>
      <c r="H195" s="111"/>
      <c r="I195" s="109"/>
      <c r="J195" s="111"/>
      <c r="K195" s="109"/>
      <c r="L195" s="111"/>
    </row>
    <row r="196" spans="1:12" ht="15.75" customHeight="1" thickBot="1" x14ac:dyDescent="0.3">
      <c r="A196" s="116"/>
      <c r="B196" s="106"/>
      <c r="C196" s="107"/>
      <c r="D196" s="107"/>
      <c r="E196" s="108"/>
      <c r="F196" s="112"/>
      <c r="G196" s="113"/>
      <c r="H196" s="114"/>
      <c r="I196" s="112"/>
      <c r="J196" s="114"/>
      <c r="K196" s="112"/>
      <c r="L196" s="114"/>
    </row>
    <row r="197" spans="1:12" ht="15" customHeight="1" x14ac:dyDescent="0.25">
      <c r="A197" s="58" t="s">
        <v>32</v>
      </c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60"/>
    </row>
    <row r="198" spans="1:12" ht="15.75" customHeight="1" thickBot="1" x14ac:dyDescent="0.3">
      <c r="A198" s="61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3"/>
    </row>
    <row r="199" spans="1:12" ht="15" customHeight="1" thickBot="1" x14ac:dyDescent="0.35">
      <c r="A199" s="87" t="str">
        <f>A56</f>
        <v>COR</v>
      </c>
      <c r="B199" s="37" t="str">
        <f>B56</f>
        <v>NUMERO MOLDE</v>
      </c>
      <c r="C199" s="38"/>
      <c r="D199" s="38"/>
      <c r="E199" s="39"/>
      <c r="F199" s="192" t="str">
        <f>F56</f>
        <v>QUANTIDADE POR PEÇA</v>
      </c>
      <c r="G199" s="193"/>
      <c r="H199" s="194"/>
      <c r="I199" s="95" t="s">
        <v>31</v>
      </c>
      <c r="J199" s="96"/>
      <c r="K199" s="96"/>
      <c r="L199" s="97"/>
    </row>
    <row r="200" spans="1:12" ht="15.75" customHeight="1" thickBot="1" x14ac:dyDescent="0.3">
      <c r="A200" s="88"/>
      <c r="B200" s="40"/>
      <c r="C200" s="41"/>
      <c r="D200" s="41"/>
      <c r="E200" s="42"/>
      <c r="F200" s="195"/>
      <c r="G200" s="196"/>
      <c r="H200" s="197"/>
      <c r="I200" s="98" t="s">
        <v>17</v>
      </c>
      <c r="J200" s="99"/>
      <c r="K200" s="100" t="s">
        <v>27</v>
      </c>
      <c r="L200" s="99"/>
    </row>
    <row r="201" spans="1:12" ht="15" customHeight="1" x14ac:dyDescent="0.25">
      <c r="A201" s="115">
        <f>A58</f>
        <v>0</v>
      </c>
      <c r="B201" s="103">
        <v>0</v>
      </c>
      <c r="C201" s="104"/>
      <c r="D201" s="104"/>
      <c r="E201" s="105"/>
      <c r="F201" s="109">
        <f>F58</f>
        <v>0</v>
      </c>
      <c r="G201" s="110"/>
      <c r="H201" s="111"/>
      <c r="I201" s="109">
        <f>C14*F201</f>
        <v>0</v>
      </c>
      <c r="J201" s="111"/>
      <c r="K201" s="109">
        <f>H14*F201</f>
        <v>0</v>
      </c>
      <c r="L201" s="111"/>
    </row>
    <row r="202" spans="1:12" ht="15.75" customHeight="1" thickBot="1" x14ac:dyDescent="0.3">
      <c r="A202" s="116"/>
      <c r="B202" s="106"/>
      <c r="C202" s="107"/>
      <c r="D202" s="107"/>
      <c r="E202" s="108"/>
      <c r="F202" s="112"/>
      <c r="G202" s="113"/>
      <c r="H202" s="114"/>
      <c r="I202" s="112"/>
      <c r="J202" s="114"/>
      <c r="K202" s="112"/>
      <c r="L202" s="114"/>
    </row>
    <row r="203" spans="1:12" ht="15.75" thickBot="1" x14ac:dyDescent="0.3">
      <c r="A203" s="7" t="s">
        <v>63</v>
      </c>
      <c r="B203" s="7" t="s">
        <v>64</v>
      </c>
      <c r="C203" s="7" t="s">
        <v>65</v>
      </c>
      <c r="D203" s="25" t="s">
        <v>23</v>
      </c>
      <c r="E203" s="26"/>
      <c r="F203" s="25" t="s">
        <v>63</v>
      </c>
      <c r="G203" s="27"/>
      <c r="H203" s="27"/>
      <c r="I203" s="26"/>
      <c r="J203" s="7" t="s">
        <v>64</v>
      </c>
      <c r="K203" s="7" t="s">
        <v>65</v>
      </c>
      <c r="L203" s="7" t="s">
        <v>23</v>
      </c>
    </row>
    <row r="204" spans="1:12" ht="15.75" thickBot="1" x14ac:dyDescent="0.3">
      <c r="A204" s="7" t="s">
        <v>111</v>
      </c>
      <c r="B204" s="7">
        <v>1</v>
      </c>
      <c r="C204" s="7" t="s">
        <v>107</v>
      </c>
      <c r="D204" s="198" t="s">
        <v>130</v>
      </c>
      <c r="E204" s="26"/>
      <c r="F204" s="25"/>
      <c r="G204" s="27"/>
      <c r="H204" s="27"/>
      <c r="I204" s="26"/>
      <c r="J204" s="7">
        <v>40</v>
      </c>
      <c r="K204" s="7"/>
      <c r="L204" s="7"/>
    </row>
    <row r="205" spans="1:12" ht="15.75" thickBot="1" x14ac:dyDescent="0.3">
      <c r="A205" s="7" t="s">
        <v>106</v>
      </c>
      <c r="B205" s="7">
        <v>2</v>
      </c>
      <c r="C205" s="7" t="s">
        <v>105</v>
      </c>
      <c r="D205" s="198" t="s">
        <v>130</v>
      </c>
      <c r="E205" s="26"/>
      <c r="F205" s="25"/>
      <c r="G205" s="27"/>
      <c r="H205" s="27"/>
      <c r="I205" s="26"/>
      <c r="J205" s="7">
        <v>41</v>
      </c>
      <c r="K205" s="7"/>
      <c r="L205" s="7"/>
    </row>
    <row r="206" spans="1:12" ht="15.75" thickBot="1" x14ac:dyDescent="0.3">
      <c r="A206" s="7" t="s">
        <v>128</v>
      </c>
      <c r="B206" s="7">
        <v>3</v>
      </c>
      <c r="C206" s="7" t="s">
        <v>105</v>
      </c>
      <c r="D206" s="198" t="s">
        <v>130</v>
      </c>
      <c r="E206" s="26"/>
      <c r="F206" s="25"/>
      <c r="G206" s="27"/>
      <c r="H206" s="27"/>
      <c r="I206" s="26"/>
      <c r="J206" s="7">
        <v>42</v>
      </c>
      <c r="K206" s="7"/>
      <c r="L206" s="7"/>
    </row>
    <row r="207" spans="1:12" ht="15.75" thickBot="1" x14ac:dyDescent="0.3">
      <c r="A207" s="7" t="s">
        <v>129</v>
      </c>
      <c r="B207" s="7">
        <v>4</v>
      </c>
      <c r="C207" s="7" t="s">
        <v>107</v>
      </c>
      <c r="D207" s="198" t="s">
        <v>130</v>
      </c>
      <c r="E207" s="26"/>
      <c r="F207" s="25"/>
      <c r="G207" s="27"/>
      <c r="H207" s="27"/>
      <c r="I207" s="26"/>
      <c r="J207" s="7">
        <v>43</v>
      </c>
      <c r="K207" s="7"/>
      <c r="L207" s="7"/>
    </row>
    <row r="208" spans="1:12" ht="15.75" thickBot="1" x14ac:dyDescent="0.3">
      <c r="A208" s="7"/>
      <c r="B208" s="7"/>
      <c r="C208" s="7"/>
      <c r="D208" s="25"/>
      <c r="E208" s="26"/>
      <c r="F208" s="25"/>
      <c r="G208" s="27"/>
      <c r="H208" s="27"/>
      <c r="I208" s="26"/>
      <c r="J208" s="7">
        <v>44</v>
      </c>
      <c r="K208" s="7"/>
      <c r="L208" s="7"/>
    </row>
    <row r="209" spans="1:12" ht="15.75" thickBot="1" x14ac:dyDescent="0.3">
      <c r="A209" s="7"/>
      <c r="B209" s="7">
        <v>6</v>
      </c>
      <c r="C209" s="7"/>
      <c r="D209" s="25"/>
      <c r="E209" s="26"/>
      <c r="F209" s="25"/>
      <c r="G209" s="27"/>
      <c r="H209" s="27"/>
      <c r="I209" s="26"/>
      <c r="J209" s="7">
        <v>45</v>
      </c>
      <c r="K209" s="7"/>
      <c r="L209" s="7"/>
    </row>
    <row r="210" spans="1:12" ht="15.75" thickBot="1" x14ac:dyDescent="0.3">
      <c r="A210" s="7"/>
      <c r="B210" s="7">
        <v>7</v>
      </c>
      <c r="C210" s="7"/>
      <c r="D210" s="25"/>
      <c r="E210" s="26"/>
      <c r="F210" s="25"/>
      <c r="G210" s="27"/>
      <c r="H210" s="27"/>
      <c r="I210" s="26"/>
      <c r="J210" s="7">
        <v>46</v>
      </c>
      <c r="K210" s="7"/>
      <c r="L210" s="7"/>
    </row>
    <row r="211" spans="1:12" ht="15.75" thickBot="1" x14ac:dyDescent="0.3">
      <c r="A211" s="7"/>
      <c r="B211" s="7">
        <v>8</v>
      </c>
      <c r="C211" s="7"/>
      <c r="D211" s="25"/>
      <c r="E211" s="26"/>
      <c r="F211" s="25"/>
      <c r="G211" s="27"/>
      <c r="H211" s="27"/>
      <c r="I211" s="26"/>
      <c r="J211" s="7">
        <v>47</v>
      </c>
      <c r="K211" s="7"/>
      <c r="L211" s="7"/>
    </row>
    <row r="212" spans="1:12" ht="15.75" thickBot="1" x14ac:dyDescent="0.3">
      <c r="A212" s="7"/>
      <c r="B212" s="7">
        <v>9</v>
      </c>
      <c r="C212" s="7"/>
      <c r="D212" s="25"/>
      <c r="E212" s="26"/>
      <c r="F212" s="25"/>
      <c r="G212" s="27"/>
      <c r="H212" s="27"/>
      <c r="I212" s="26"/>
      <c r="J212" s="7">
        <v>48</v>
      </c>
      <c r="K212" s="7"/>
      <c r="L212" s="7"/>
    </row>
    <row r="213" spans="1:12" ht="15.75" thickBot="1" x14ac:dyDescent="0.3">
      <c r="A213" s="7"/>
      <c r="B213" s="7">
        <v>10</v>
      </c>
      <c r="C213" s="7"/>
      <c r="D213" s="25"/>
      <c r="E213" s="26"/>
      <c r="F213" s="25"/>
      <c r="G213" s="27"/>
      <c r="H213" s="27"/>
      <c r="I213" s="26"/>
      <c r="J213" s="7">
        <v>49</v>
      </c>
      <c r="K213" s="7"/>
      <c r="L213" s="7"/>
    </row>
    <row r="214" spans="1:12" ht="15.75" thickBot="1" x14ac:dyDescent="0.3">
      <c r="A214" s="7"/>
      <c r="B214" s="7">
        <v>11</v>
      </c>
      <c r="C214" s="7"/>
      <c r="D214" s="25"/>
      <c r="E214" s="26"/>
      <c r="F214" s="25"/>
      <c r="G214" s="27"/>
      <c r="H214" s="27"/>
      <c r="I214" s="26"/>
      <c r="J214" s="7">
        <v>50</v>
      </c>
      <c r="K214" s="7"/>
      <c r="L214" s="7"/>
    </row>
    <row r="215" spans="1:12" ht="15.75" thickBot="1" x14ac:dyDescent="0.3">
      <c r="A215" s="7"/>
      <c r="B215" s="7">
        <v>12</v>
      </c>
      <c r="C215" s="7"/>
      <c r="D215" s="25"/>
      <c r="E215" s="26"/>
      <c r="F215" s="25"/>
      <c r="G215" s="27"/>
      <c r="H215" s="27"/>
      <c r="I215" s="26"/>
      <c r="J215" s="7">
        <v>51</v>
      </c>
      <c r="K215" s="7"/>
      <c r="L215" s="7"/>
    </row>
    <row r="216" spans="1:12" ht="15.75" thickBot="1" x14ac:dyDescent="0.3">
      <c r="A216" s="7"/>
      <c r="B216" s="7">
        <v>13</v>
      </c>
      <c r="C216" s="7"/>
      <c r="D216" s="25"/>
      <c r="E216" s="26"/>
      <c r="F216" s="25"/>
      <c r="G216" s="27"/>
      <c r="H216" s="27"/>
      <c r="I216" s="26"/>
      <c r="J216" s="7">
        <v>52</v>
      </c>
      <c r="K216" s="7"/>
      <c r="L216" s="7"/>
    </row>
    <row r="217" spans="1:12" ht="15.75" thickBot="1" x14ac:dyDescent="0.3">
      <c r="A217" s="7"/>
      <c r="B217" s="7">
        <v>14</v>
      </c>
      <c r="C217" s="7"/>
      <c r="D217" s="25"/>
      <c r="E217" s="26"/>
      <c r="F217" s="25"/>
      <c r="G217" s="27"/>
      <c r="H217" s="27"/>
      <c r="I217" s="26"/>
      <c r="J217" s="7">
        <v>53</v>
      </c>
      <c r="K217" s="7"/>
      <c r="L217" s="7"/>
    </row>
    <row r="218" spans="1:12" ht="15.75" thickBot="1" x14ac:dyDescent="0.3">
      <c r="A218" s="7"/>
      <c r="B218" s="7">
        <v>15</v>
      </c>
      <c r="C218" s="7"/>
      <c r="D218" s="25"/>
      <c r="E218" s="26"/>
      <c r="F218" s="25"/>
      <c r="G218" s="27"/>
      <c r="H218" s="27"/>
      <c r="I218" s="26"/>
      <c r="J218" s="7">
        <v>54</v>
      </c>
      <c r="K218" s="7"/>
      <c r="L218" s="7"/>
    </row>
    <row r="219" spans="1:12" ht="15.75" thickBot="1" x14ac:dyDescent="0.3">
      <c r="A219" s="7"/>
      <c r="B219" s="7">
        <v>16</v>
      </c>
      <c r="C219" s="7"/>
      <c r="D219" s="25"/>
      <c r="E219" s="26"/>
      <c r="F219" s="25"/>
      <c r="G219" s="27"/>
      <c r="H219" s="27"/>
      <c r="I219" s="26"/>
      <c r="J219" s="7">
        <v>55</v>
      </c>
      <c r="K219" s="7"/>
      <c r="L219" s="7"/>
    </row>
    <row r="220" spans="1:12" ht="15.75" thickBot="1" x14ac:dyDescent="0.3">
      <c r="A220" s="7"/>
      <c r="B220" s="7">
        <v>17</v>
      </c>
      <c r="C220" s="7"/>
      <c r="D220" s="25"/>
      <c r="E220" s="26"/>
      <c r="F220" s="25"/>
      <c r="G220" s="27"/>
      <c r="H220" s="27"/>
      <c r="I220" s="26"/>
      <c r="J220" s="7">
        <v>56</v>
      </c>
      <c r="K220" s="7"/>
      <c r="L220" s="7"/>
    </row>
    <row r="221" spans="1:12" ht="15.75" thickBot="1" x14ac:dyDescent="0.3">
      <c r="A221" s="7"/>
      <c r="B221" s="7">
        <v>18</v>
      </c>
      <c r="C221" s="7"/>
      <c r="D221" s="25"/>
      <c r="E221" s="26"/>
      <c r="F221" s="25"/>
      <c r="G221" s="27"/>
      <c r="H221" s="27"/>
      <c r="I221" s="26"/>
      <c r="J221" s="7">
        <v>57</v>
      </c>
      <c r="K221" s="7"/>
      <c r="L221" s="7"/>
    </row>
    <row r="222" spans="1:12" ht="15.75" thickBot="1" x14ac:dyDescent="0.3">
      <c r="A222" s="7"/>
      <c r="B222" s="7">
        <v>19</v>
      </c>
      <c r="C222" s="7"/>
      <c r="D222" s="25"/>
      <c r="E222" s="26"/>
      <c r="F222" s="25"/>
      <c r="G222" s="27"/>
      <c r="H222" s="27"/>
      <c r="I222" s="26"/>
      <c r="J222" s="7">
        <v>58</v>
      </c>
      <c r="K222" s="7"/>
      <c r="L222" s="7"/>
    </row>
    <row r="223" spans="1:12" ht="15.75" thickBot="1" x14ac:dyDescent="0.3">
      <c r="A223" s="7"/>
      <c r="B223" s="7">
        <v>20</v>
      </c>
      <c r="C223" s="7"/>
      <c r="D223" s="25"/>
      <c r="E223" s="26"/>
      <c r="F223" s="25"/>
      <c r="G223" s="27"/>
      <c r="H223" s="27"/>
      <c r="I223" s="26"/>
      <c r="J223" s="7">
        <v>59</v>
      </c>
      <c r="K223" s="7"/>
      <c r="L223" s="7"/>
    </row>
    <row r="224" spans="1:12" ht="15.75" thickBot="1" x14ac:dyDescent="0.3">
      <c r="A224" s="7"/>
      <c r="B224" s="7">
        <v>21</v>
      </c>
      <c r="C224" s="7"/>
      <c r="D224" s="25"/>
      <c r="E224" s="26"/>
      <c r="F224" s="25"/>
      <c r="G224" s="27"/>
      <c r="H224" s="27"/>
      <c r="I224" s="26"/>
      <c r="J224" s="7">
        <v>60</v>
      </c>
      <c r="K224" s="7"/>
      <c r="L224" s="7"/>
    </row>
    <row r="225" spans="1:12" ht="15.75" thickBot="1" x14ac:dyDescent="0.3">
      <c r="A225" s="7"/>
      <c r="B225" s="7">
        <v>22</v>
      </c>
      <c r="C225" s="7"/>
      <c r="D225" s="25"/>
      <c r="E225" s="26"/>
      <c r="F225" s="25"/>
      <c r="G225" s="27"/>
      <c r="H225" s="27"/>
      <c r="I225" s="26"/>
      <c r="J225" s="7">
        <v>61</v>
      </c>
      <c r="K225" s="7"/>
      <c r="L225" s="7"/>
    </row>
    <row r="226" spans="1:12" ht="15.75" thickBot="1" x14ac:dyDescent="0.3">
      <c r="A226" s="7"/>
      <c r="B226" s="7">
        <v>23</v>
      </c>
      <c r="C226" s="7"/>
      <c r="D226" s="25"/>
      <c r="E226" s="26"/>
      <c r="F226" s="25"/>
      <c r="G226" s="27"/>
      <c r="H226" s="27"/>
      <c r="I226" s="26"/>
      <c r="J226" s="7">
        <v>62</v>
      </c>
      <c r="K226" s="7"/>
      <c r="L226" s="7"/>
    </row>
    <row r="227" spans="1:12" ht="15.75" thickBot="1" x14ac:dyDescent="0.3">
      <c r="A227" s="7"/>
      <c r="B227" s="7">
        <v>24</v>
      </c>
      <c r="C227" s="7"/>
      <c r="D227" s="25"/>
      <c r="E227" s="26"/>
      <c r="F227" s="25"/>
      <c r="G227" s="27"/>
      <c r="H227" s="27"/>
      <c r="I227" s="26"/>
      <c r="J227" s="7">
        <v>63</v>
      </c>
      <c r="K227" s="7"/>
      <c r="L227" s="7"/>
    </row>
    <row r="228" spans="1:12" ht="15.75" thickBot="1" x14ac:dyDescent="0.3">
      <c r="A228" s="7"/>
      <c r="B228" s="7">
        <v>25</v>
      </c>
      <c r="C228" s="7"/>
      <c r="D228" s="25"/>
      <c r="E228" s="26"/>
      <c r="F228" s="25"/>
      <c r="G228" s="27"/>
      <c r="H228" s="27"/>
      <c r="I228" s="26"/>
      <c r="J228" s="7">
        <v>64</v>
      </c>
      <c r="K228" s="7"/>
      <c r="L228" s="7"/>
    </row>
    <row r="229" spans="1:12" ht="15.75" thickBot="1" x14ac:dyDescent="0.3">
      <c r="A229" s="7"/>
      <c r="B229" s="7">
        <v>26</v>
      </c>
      <c r="C229" s="7"/>
      <c r="D229" s="25"/>
      <c r="E229" s="26"/>
      <c r="F229" s="25"/>
      <c r="G229" s="27"/>
      <c r="H229" s="27"/>
      <c r="I229" s="26"/>
      <c r="J229" s="7">
        <v>65</v>
      </c>
      <c r="K229" s="7"/>
      <c r="L229" s="7"/>
    </row>
    <row r="230" spans="1:12" ht="15.75" thickBot="1" x14ac:dyDescent="0.3">
      <c r="A230" s="7"/>
      <c r="B230" s="7">
        <v>27</v>
      </c>
      <c r="C230" s="7"/>
      <c r="D230" s="25"/>
      <c r="E230" s="26"/>
      <c r="F230" s="25"/>
      <c r="G230" s="27"/>
      <c r="H230" s="27"/>
      <c r="I230" s="26"/>
      <c r="J230" s="7">
        <v>66</v>
      </c>
      <c r="K230" s="7"/>
      <c r="L230" s="7"/>
    </row>
    <row r="231" spans="1:12" ht="15.75" thickBot="1" x14ac:dyDescent="0.3">
      <c r="A231" s="7"/>
      <c r="B231" s="7">
        <v>28</v>
      </c>
      <c r="C231" s="7"/>
      <c r="D231" s="25"/>
      <c r="E231" s="26"/>
      <c r="F231" s="25"/>
      <c r="G231" s="27"/>
      <c r="H231" s="27"/>
      <c r="I231" s="26"/>
      <c r="J231" s="7">
        <v>67</v>
      </c>
      <c r="K231" s="7"/>
      <c r="L231" s="7"/>
    </row>
    <row r="232" spans="1:12" ht="15.75" thickBot="1" x14ac:dyDescent="0.3">
      <c r="A232" s="7"/>
      <c r="B232" s="7">
        <v>29</v>
      </c>
      <c r="C232" s="7"/>
      <c r="D232" s="25"/>
      <c r="E232" s="26"/>
      <c r="F232" s="25"/>
      <c r="G232" s="27"/>
      <c r="H232" s="27"/>
      <c r="I232" s="26"/>
      <c r="J232" s="7">
        <v>68</v>
      </c>
      <c r="K232" s="7"/>
      <c r="L232" s="7"/>
    </row>
    <row r="233" spans="1:12" ht="15.75" thickBot="1" x14ac:dyDescent="0.3">
      <c r="A233" s="7"/>
      <c r="B233" s="7">
        <v>30</v>
      </c>
      <c r="C233" s="7"/>
      <c r="D233" s="25"/>
      <c r="E233" s="26"/>
      <c r="F233" s="25"/>
      <c r="G233" s="27"/>
      <c r="H233" s="27"/>
      <c r="I233" s="26"/>
      <c r="J233" s="7">
        <v>69</v>
      </c>
      <c r="K233" s="7"/>
      <c r="L233" s="7"/>
    </row>
    <row r="234" spans="1:12" ht="15.75" thickBot="1" x14ac:dyDescent="0.3">
      <c r="A234" s="7"/>
      <c r="B234" s="7">
        <v>31</v>
      </c>
      <c r="C234" s="7"/>
      <c r="D234" s="25"/>
      <c r="E234" s="26"/>
      <c r="F234" s="25"/>
      <c r="G234" s="27"/>
      <c r="H234" s="27"/>
      <c r="I234" s="26"/>
      <c r="J234" s="7">
        <v>70</v>
      </c>
      <c r="K234" s="7"/>
      <c r="L234" s="7"/>
    </row>
    <row r="235" spans="1:12" ht="15.75" thickBot="1" x14ac:dyDescent="0.3">
      <c r="A235" s="7"/>
      <c r="B235" s="7">
        <v>32</v>
      </c>
      <c r="C235" s="7"/>
      <c r="D235" s="25"/>
      <c r="E235" s="26"/>
      <c r="F235" s="25"/>
      <c r="G235" s="27"/>
      <c r="H235" s="27"/>
      <c r="I235" s="26"/>
      <c r="J235" s="7">
        <v>71</v>
      </c>
      <c r="K235" s="7"/>
      <c r="L235" s="7"/>
    </row>
    <row r="236" spans="1:12" ht="15.75" thickBot="1" x14ac:dyDescent="0.3">
      <c r="A236" s="7"/>
      <c r="B236" s="7">
        <v>33</v>
      </c>
      <c r="C236" s="7"/>
      <c r="D236" s="25"/>
      <c r="E236" s="26"/>
      <c r="F236" s="25"/>
      <c r="G236" s="27"/>
      <c r="H236" s="27"/>
      <c r="I236" s="26"/>
      <c r="J236" s="7">
        <v>72</v>
      </c>
      <c r="K236" s="7"/>
      <c r="L236" s="7"/>
    </row>
    <row r="237" spans="1:12" ht="15.75" thickBot="1" x14ac:dyDescent="0.3">
      <c r="A237" s="7"/>
      <c r="B237" s="7">
        <v>34</v>
      </c>
      <c r="C237" s="7"/>
      <c r="D237" s="25"/>
      <c r="E237" s="26"/>
      <c r="F237" s="25"/>
      <c r="G237" s="27"/>
      <c r="H237" s="27"/>
      <c r="I237" s="26"/>
      <c r="J237" s="7">
        <v>73</v>
      </c>
      <c r="K237" s="7"/>
      <c r="L237" s="7"/>
    </row>
    <row r="238" spans="1:12" ht="15.75" thickBot="1" x14ac:dyDescent="0.3">
      <c r="A238" s="7"/>
      <c r="B238" s="7">
        <v>35</v>
      </c>
      <c r="C238" s="7"/>
      <c r="D238" s="25"/>
      <c r="E238" s="26"/>
      <c r="F238" s="25"/>
      <c r="G238" s="27"/>
      <c r="H238" s="27"/>
      <c r="I238" s="26"/>
      <c r="J238" s="7">
        <v>74</v>
      </c>
      <c r="K238" s="7"/>
      <c r="L238" s="7"/>
    </row>
    <row r="239" spans="1:12" ht="15.75" thickBot="1" x14ac:dyDescent="0.3">
      <c r="A239" s="7"/>
      <c r="B239" s="7">
        <v>36</v>
      </c>
      <c r="C239" s="7"/>
      <c r="D239" s="25"/>
      <c r="E239" s="26"/>
      <c r="F239" s="25"/>
      <c r="G239" s="27"/>
      <c r="H239" s="27"/>
      <c r="I239" s="26"/>
      <c r="J239" s="7">
        <v>75</v>
      </c>
      <c r="K239" s="7"/>
      <c r="L239" s="7"/>
    </row>
    <row r="240" spans="1:12" ht="15.75" thickBot="1" x14ac:dyDescent="0.3">
      <c r="A240" s="7"/>
      <c r="B240" s="7">
        <v>37</v>
      </c>
      <c r="C240" s="7"/>
      <c r="D240" s="25"/>
      <c r="E240" s="26"/>
      <c r="F240" s="25"/>
      <c r="G240" s="27"/>
      <c r="H240" s="27"/>
      <c r="I240" s="26"/>
      <c r="J240" s="7">
        <v>76</v>
      </c>
      <c r="K240" s="7"/>
      <c r="L240" s="7"/>
    </row>
    <row r="241" spans="1:12" ht="52.5" customHeight="1" thickBot="1" x14ac:dyDescent="0.3">
      <c r="A241" s="7"/>
      <c r="B241" s="7">
        <v>38</v>
      </c>
      <c r="C241" s="7"/>
      <c r="D241" s="25"/>
      <c r="E241" s="26"/>
      <c r="F241" s="25"/>
      <c r="G241" s="27"/>
      <c r="H241" s="27"/>
      <c r="I241" s="26"/>
      <c r="J241" s="7">
        <v>77</v>
      </c>
      <c r="K241" s="7"/>
      <c r="L241" s="7"/>
    </row>
    <row r="242" spans="1:12" x14ac:dyDescent="0.25">
      <c r="A242" s="58" t="str">
        <f>A1</f>
        <v xml:space="preserve">LS </v>
      </c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60"/>
    </row>
    <row r="243" spans="1:12" x14ac:dyDescent="0.25">
      <c r="A243" s="173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5"/>
    </row>
    <row r="244" spans="1:12" ht="6" customHeight="1" thickBot="1" x14ac:dyDescent="0.3">
      <c r="A244" s="61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3"/>
    </row>
    <row r="245" spans="1:12" x14ac:dyDescent="0.25">
      <c r="A245" s="58" t="s">
        <v>66</v>
      </c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60"/>
    </row>
    <row r="246" spans="1:12" ht="15.75" thickBot="1" x14ac:dyDescent="0.3">
      <c r="A246" s="61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3"/>
    </row>
    <row r="247" spans="1:12" ht="15.75" thickBot="1" x14ac:dyDescent="0.3">
      <c r="A247" s="1" t="str">
        <f t="shared" ref="A247:B249" si="4">A6</f>
        <v xml:space="preserve">CLIENTE: SENAC </v>
      </c>
      <c r="B247" s="64" t="str">
        <f t="shared" si="4"/>
        <v>REPRESENTANTE: ANTONIO</v>
      </c>
      <c r="C247" s="65"/>
      <c r="D247" s="65"/>
      <c r="E247" s="65"/>
      <c r="F247" s="66"/>
      <c r="G247" s="64" t="str">
        <f>G6</f>
        <v>PEDIDO: 16/26</v>
      </c>
      <c r="H247" s="65"/>
      <c r="I247" s="66"/>
      <c r="J247" s="25" t="s">
        <v>2</v>
      </c>
      <c r="K247" s="27"/>
      <c r="L247" s="26"/>
    </row>
    <row r="248" spans="1:12" ht="15.75" thickBot="1" x14ac:dyDescent="0.3">
      <c r="A248" s="2" t="str">
        <f t="shared" si="4"/>
        <v xml:space="preserve">REF. CLIENTE:   </v>
      </c>
      <c r="B248" s="64" t="str">
        <f t="shared" si="4"/>
        <v>REF. SAC LS  -  05</v>
      </c>
      <c r="C248" s="65"/>
      <c r="D248" s="65"/>
      <c r="E248" s="65"/>
      <c r="F248" s="66"/>
      <c r="G248" s="64" t="str">
        <f>G7</f>
        <v>COLECAO : VERÃO /2026</v>
      </c>
      <c r="H248" s="65"/>
      <c r="I248" s="66"/>
      <c r="J248" s="58">
        <f>J7</f>
        <v>0</v>
      </c>
      <c r="K248" s="59"/>
      <c r="L248" s="60"/>
    </row>
    <row r="249" spans="1:12" ht="15.75" thickBot="1" x14ac:dyDescent="0.3">
      <c r="A249" s="2" t="str">
        <f t="shared" si="4"/>
        <v xml:space="preserve">REF:  ls :  KIT SENAC - 4 PEÇAS </v>
      </c>
      <c r="B249" s="64" t="str">
        <f t="shared" si="4"/>
        <v xml:space="preserve">MODELO: ORGANIZADOR - NECESSAIRE </v>
      </c>
      <c r="C249" s="65"/>
      <c r="D249" s="65"/>
      <c r="E249" s="65"/>
      <c r="F249" s="65"/>
      <c r="G249" s="65"/>
      <c r="H249" s="65"/>
      <c r="I249" s="66"/>
      <c r="J249" s="61"/>
      <c r="K249" s="62"/>
      <c r="L249" s="63"/>
    </row>
    <row r="250" spans="1:12" ht="15" customHeight="1" x14ac:dyDescent="0.25">
      <c r="A250" s="212" t="s">
        <v>67</v>
      </c>
      <c r="B250" s="214"/>
      <c r="C250" s="215"/>
      <c r="D250" s="215"/>
      <c r="E250" s="215"/>
      <c r="F250" s="216"/>
      <c r="G250" s="220" t="s">
        <v>68</v>
      </c>
      <c r="H250" s="221"/>
      <c r="I250" s="167"/>
      <c r="J250" s="168"/>
      <c r="K250" s="168"/>
      <c r="L250" s="169"/>
    </row>
    <row r="251" spans="1:12" ht="15.75" customHeight="1" thickBot="1" x14ac:dyDescent="0.3">
      <c r="A251" s="213"/>
      <c r="B251" s="217"/>
      <c r="C251" s="218"/>
      <c r="D251" s="218"/>
      <c r="E251" s="218"/>
      <c r="F251" s="219"/>
      <c r="G251" s="222"/>
      <c r="H251" s="223"/>
      <c r="I251" s="180"/>
      <c r="J251" s="211"/>
      <c r="K251" s="211"/>
      <c r="L251" s="181"/>
    </row>
    <row r="252" spans="1:12" x14ac:dyDescent="0.25">
      <c r="A252" s="224" t="s">
        <v>3</v>
      </c>
      <c r="B252" s="224" t="s">
        <v>4</v>
      </c>
      <c r="C252" s="226">
        <v>22</v>
      </c>
      <c r="D252" s="89" t="s">
        <v>5</v>
      </c>
      <c r="E252" s="91"/>
      <c r="F252" s="228">
        <v>3</v>
      </c>
      <c r="G252" s="205" t="s">
        <v>6</v>
      </c>
      <c r="H252" s="209"/>
      <c r="I252" s="206"/>
      <c r="J252" s="199">
        <f>C252*F252</f>
        <v>66</v>
      </c>
      <c r="K252" s="200"/>
      <c r="L252" s="201"/>
    </row>
    <row r="253" spans="1:12" ht="15.75" thickBot="1" x14ac:dyDescent="0.3">
      <c r="A253" s="225"/>
      <c r="B253" s="225"/>
      <c r="C253" s="227"/>
      <c r="D253" s="92"/>
      <c r="E253" s="94"/>
      <c r="F253" s="229"/>
      <c r="G253" s="207"/>
      <c r="H253" s="210"/>
      <c r="I253" s="208"/>
      <c r="J253" s="202"/>
      <c r="K253" s="203"/>
      <c r="L253" s="204"/>
    </row>
    <row r="254" spans="1:12" ht="15" customHeight="1" x14ac:dyDescent="0.25">
      <c r="A254" s="205" t="s">
        <v>69</v>
      </c>
      <c r="B254" s="206"/>
      <c r="C254" s="205" t="s">
        <v>70</v>
      </c>
      <c r="D254" s="209"/>
      <c r="E254" s="209"/>
      <c r="F254" s="209"/>
      <c r="G254" s="209"/>
      <c r="H254" s="206"/>
      <c r="I254" s="205" t="s">
        <v>71</v>
      </c>
      <c r="J254" s="209"/>
      <c r="K254" s="209"/>
      <c r="L254" s="206"/>
    </row>
    <row r="255" spans="1:12" ht="15.75" customHeight="1" thickBot="1" x14ac:dyDescent="0.3">
      <c r="A255" s="207"/>
      <c r="B255" s="208"/>
      <c r="C255" s="207"/>
      <c r="D255" s="210"/>
      <c r="E255" s="210"/>
      <c r="F255" s="210"/>
      <c r="G255" s="210"/>
      <c r="H255" s="208"/>
      <c r="I255" s="207"/>
      <c r="J255" s="210"/>
      <c r="K255" s="210"/>
      <c r="L255" s="208"/>
    </row>
    <row r="256" spans="1:12" x14ac:dyDescent="0.25">
      <c r="A256" s="167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9"/>
    </row>
    <row r="257" spans="1:12" ht="15.75" thickBot="1" x14ac:dyDescent="0.3">
      <c r="A257" s="180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181"/>
    </row>
    <row r="258" spans="1:12" x14ac:dyDescent="0.25">
      <c r="A258" s="167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9"/>
    </row>
    <row r="259" spans="1:12" ht="15.75" thickBot="1" x14ac:dyDescent="0.3">
      <c r="A259" s="180"/>
      <c r="B259" s="211"/>
      <c r="C259" s="211"/>
      <c r="D259" s="211"/>
      <c r="E259" s="211"/>
      <c r="F259" s="211"/>
      <c r="G259" s="211"/>
      <c r="H259" s="211"/>
      <c r="I259" s="211"/>
      <c r="J259" s="211"/>
      <c r="K259" s="211"/>
      <c r="L259" s="181"/>
    </row>
    <row r="260" spans="1:12" x14ac:dyDescent="0.25">
      <c r="A260" s="167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9"/>
    </row>
    <row r="261" spans="1:12" ht="15.75" thickBot="1" x14ac:dyDescent="0.3">
      <c r="A261" s="180"/>
      <c r="B261" s="211"/>
      <c r="C261" s="211"/>
      <c r="D261" s="211"/>
      <c r="E261" s="211"/>
      <c r="F261" s="211"/>
      <c r="G261" s="211"/>
      <c r="H261" s="211"/>
      <c r="I261" s="211"/>
      <c r="J261" s="211"/>
      <c r="K261" s="211"/>
      <c r="L261" s="181"/>
    </row>
    <row r="262" spans="1:12" ht="15" customHeight="1" x14ac:dyDescent="0.25">
      <c r="A262" s="167"/>
      <c r="B262" s="168"/>
      <c r="C262" s="168"/>
      <c r="D262" s="168"/>
      <c r="E262" s="168"/>
      <c r="F262" s="169"/>
      <c r="G262" s="230" t="s">
        <v>72</v>
      </c>
      <c r="H262" s="231"/>
      <c r="I262" s="231"/>
      <c r="J262" s="232"/>
      <c r="K262" s="230" t="s">
        <v>73</v>
      </c>
      <c r="L262" s="232"/>
    </row>
    <row r="263" spans="1:12" ht="15.75" customHeight="1" thickBot="1" x14ac:dyDescent="0.3">
      <c r="A263" s="180"/>
      <c r="B263" s="211"/>
      <c r="C263" s="211"/>
      <c r="D263" s="211"/>
      <c r="E263" s="211"/>
      <c r="F263" s="181"/>
      <c r="G263" s="233"/>
      <c r="H263" s="234"/>
      <c r="I263" s="234"/>
      <c r="J263" s="235"/>
      <c r="K263" s="233"/>
      <c r="L263" s="235"/>
    </row>
    <row r="264" spans="1:12" x14ac:dyDescent="0.25">
      <c r="A264" s="167"/>
      <c r="B264" s="168"/>
      <c r="C264" s="168"/>
      <c r="D264" s="168"/>
      <c r="E264" s="168"/>
      <c r="F264" s="169"/>
      <c r="G264" s="230" t="s">
        <v>74</v>
      </c>
      <c r="H264" s="231"/>
      <c r="I264" s="231"/>
      <c r="J264" s="232"/>
      <c r="K264" s="230" t="s">
        <v>73</v>
      </c>
      <c r="L264" s="232"/>
    </row>
    <row r="265" spans="1:12" ht="15.75" thickBot="1" x14ac:dyDescent="0.3">
      <c r="A265" s="180"/>
      <c r="B265" s="211"/>
      <c r="C265" s="211"/>
      <c r="D265" s="211"/>
      <c r="E265" s="211"/>
      <c r="F265" s="181"/>
      <c r="G265" s="233"/>
      <c r="H265" s="234"/>
      <c r="I265" s="234"/>
      <c r="J265" s="235"/>
      <c r="K265" s="233"/>
      <c r="L265" s="235"/>
    </row>
    <row r="266" spans="1:12" ht="15.75" thickBot="1" x14ac:dyDescent="0.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</row>
    <row r="267" spans="1:12" x14ac:dyDescent="0.25">
      <c r="A267" s="58" t="s">
        <v>1</v>
      </c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60"/>
    </row>
    <row r="268" spans="1:12" ht="15.75" thickBot="1" x14ac:dyDescent="0.3">
      <c r="A268" s="61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3"/>
    </row>
    <row r="269" spans="1:12" ht="15.75" thickBot="1" x14ac:dyDescent="0.3">
      <c r="A269" s="1" t="str">
        <f t="shared" ref="A269:B271" si="5">A6</f>
        <v xml:space="preserve">CLIENTE: SENAC </v>
      </c>
      <c r="B269" s="64" t="str">
        <f t="shared" si="5"/>
        <v>REPRESENTANTE: ANTONIO</v>
      </c>
      <c r="C269" s="65"/>
      <c r="D269" s="65"/>
      <c r="E269" s="65"/>
      <c r="F269" s="66"/>
      <c r="G269" s="64" t="str">
        <f>G6</f>
        <v>PEDIDO: 16/26</v>
      </c>
      <c r="H269" s="65"/>
      <c r="I269" s="66"/>
      <c r="J269" s="25" t="str">
        <f>J6</f>
        <v xml:space="preserve">QTD. MOSTR. LS </v>
      </c>
      <c r="K269" s="27"/>
      <c r="L269" s="26"/>
    </row>
    <row r="270" spans="1:12" ht="15.75" thickBot="1" x14ac:dyDescent="0.3">
      <c r="A270" s="2" t="str">
        <f t="shared" si="5"/>
        <v xml:space="preserve">REF. CLIENTE:   </v>
      </c>
      <c r="B270" s="64" t="str">
        <f t="shared" si="5"/>
        <v>REF. SAC LS  -  05</v>
      </c>
      <c r="C270" s="65"/>
      <c r="D270" s="65"/>
      <c r="E270" s="65"/>
      <c r="F270" s="66"/>
      <c r="G270" s="64" t="str">
        <f>G7</f>
        <v>COLECAO : VERÃO /2026</v>
      </c>
      <c r="H270" s="65"/>
      <c r="I270" s="66"/>
      <c r="J270" s="58">
        <f>J7</f>
        <v>0</v>
      </c>
      <c r="K270" s="59"/>
      <c r="L270" s="60"/>
    </row>
    <row r="271" spans="1:12" ht="15.75" thickBot="1" x14ac:dyDescent="0.3">
      <c r="A271" s="2" t="str">
        <f t="shared" si="5"/>
        <v xml:space="preserve">REF:  ls :  KIT SENAC - 4 PEÇAS </v>
      </c>
      <c r="B271" s="64" t="str">
        <f t="shared" si="5"/>
        <v xml:space="preserve">MODELO: ORGANIZADOR - NECESSAIRE </v>
      </c>
      <c r="C271" s="65"/>
      <c r="D271" s="65"/>
      <c r="E271" s="65"/>
      <c r="F271" s="65"/>
      <c r="G271" s="65"/>
      <c r="H271" s="65"/>
      <c r="I271" s="66"/>
      <c r="J271" s="61"/>
      <c r="K271" s="62"/>
      <c r="L271" s="63"/>
    </row>
    <row r="272" spans="1:12" ht="15" customHeight="1" x14ac:dyDescent="0.25">
      <c r="A272" s="212" t="s">
        <v>67</v>
      </c>
      <c r="B272" s="214"/>
      <c r="C272" s="215"/>
      <c r="D272" s="215"/>
      <c r="E272" s="215"/>
      <c r="F272" s="216"/>
      <c r="G272" s="220" t="s">
        <v>68</v>
      </c>
      <c r="H272" s="221"/>
      <c r="I272" s="167"/>
      <c r="J272" s="168"/>
      <c r="K272" s="168"/>
      <c r="L272" s="169"/>
    </row>
    <row r="273" spans="1:12" ht="15.75" customHeight="1" thickBot="1" x14ac:dyDescent="0.3">
      <c r="A273" s="213"/>
      <c r="B273" s="217"/>
      <c r="C273" s="218"/>
      <c r="D273" s="218"/>
      <c r="E273" s="218"/>
      <c r="F273" s="219"/>
      <c r="G273" s="222"/>
      <c r="H273" s="223"/>
      <c r="I273" s="180"/>
      <c r="J273" s="211"/>
      <c r="K273" s="211"/>
      <c r="L273" s="181"/>
    </row>
    <row r="274" spans="1:12" x14ac:dyDescent="0.25">
      <c r="A274" s="224" t="s">
        <v>3</v>
      </c>
      <c r="B274" s="224" t="s">
        <v>4</v>
      </c>
      <c r="C274" s="226">
        <f>C252</f>
        <v>22</v>
      </c>
      <c r="D274" s="89" t="s">
        <v>5</v>
      </c>
      <c r="E274" s="91"/>
      <c r="F274" s="228">
        <v>3</v>
      </c>
      <c r="G274" s="205" t="s">
        <v>6</v>
      </c>
      <c r="H274" s="209"/>
      <c r="I274" s="206"/>
      <c r="J274" s="236">
        <f>J252</f>
        <v>66</v>
      </c>
      <c r="K274" s="237"/>
      <c r="L274" s="238"/>
    </row>
    <row r="275" spans="1:12" ht="15.75" thickBot="1" x14ac:dyDescent="0.3">
      <c r="A275" s="225"/>
      <c r="B275" s="225"/>
      <c r="C275" s="227"/>
      <c r="D275" s="92"/>
      <c r="E275" s="94"/>
      <c r="F275" s="229"/>
      <c r="G275" s="207"/>
      <c r="H275" s="210"/>
      <c r="I275" s="208"/>
      <c r="J275" s="239"/>
      <c r="K275" s="240"/>
      <c r="L275" s="241"/>
    </row>
    <row r="276" spans="1:12" x14ac:dyDescent="0.25">
      <c r="A276" s="205" t="s">
        <v>75</v>
      </c>
      <c r="B276" s="206"/>
      <c r="C276" s="205" t="s">
        <v>70</v>
      </c>
      <c r="D276" s="209"/>
      <c r="E276" s="209"/>
      <c r="F276" s="209"/>
      <c r="G276" s="209"/>
      <c r="H276" s="206"/>
      <c r="I276" s="205" t="s">
        <v>71</v>
      </c>
      <c r="J276" s="209"/>
      <c r="K276" s="209"/>
      <c r="L276" s="206"/>
    </row>
    <row r="277" spans="1:12" ht="15.75" thickBot="1" x14ac:dyDescent="0.3">
      <c r="A277" s="207"/>
      <c r="B277" s="208"/>
      <c r="C277" s="207"/>
      <c r="D277" s="210"/>
      <c r="E277" s="210"/>
      <c r="F277" s="210"/>
      <c r="G277" s="210"/>
      <c r="H277" s="208"/>
      <c r="I277" s="207"/>
      <c r="J277" s="210"/>
      <c r="K277" s="210"/>
      <c r="L277" s="208"/>
    </row>
    <row r="278" spans="1:12" x14ac:dyDescent="0.25">
      <c r="A278" s="167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9"/>
    </row>
    <row r="279" spans="1:12" ht="15.75" thickBot="1" x14ac:dyDescent="0.3">
      <c r="A279" s="180"/>
      <c r="B279" s="211"/>
      <c r="C279" s="211"/>
      <c r="D279" s="211"/>
      <c r="E279" s="211"/>
      <c r="F279" s="211"/>
      <c r="G279" s="211"/>
      <c r="H279" s="211"/>
      <c r="I279" s="211"/>
      <c r="J279" s="211"/>
      <c r="K279" s="211"/>
      <c r="L279" s="181"/>
    </row>
    <row r="280" spans="1:12" x14ac:dyDescent="0.25">
      <c r="A280" s="167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9"/>
    </row>
    <row r="281" spans="1:12" ht="15.75" thickBot="1" x14ac:dyDescent="0.3">
      <c r="A281" s="180"/>
      <c r="B281" s="211"/>
      <c r="C281" s="211"/>
      <c r="D281" s="211"/>
      <c r="E281" s="211"/>
      <c r="F281" s="211"/>
      <c r="G281" s="211"/>
      <c r="H281" s="211"/>
      <c r="I281" s="211"/>
      <c r="J281" s="211"/>
      <c r="K281" s="211"/>
      <c r="L281" s="181"/>
    </row>
    <row r="282" spans="1:12" x14ac:dyDescent="0.25">
      <c r="A282" s="167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9"/>
    </row>
    <row r="283" spans="1:12" ht="15.75" thickBot="1" x14ac:dyDescent="0.3">
      <c r="A283" s="180"/>
      <c r="B283" s="211"/>
      <c r="C283" s="211"/>
      <c r="D283" s="211"/>
      <c r="E283" s="211"/>
      <c r="F283" s="211"/>
      <c r="G283" s="211"/>
      <c r="H283" s="211"/>
      <c r="I283" s="211"/>
      <c r="J283" s="211"/>
      <c r="K283" s="211"/>
      <c r="L283" s="181"/>
    </row>
    <row r="284" spans="1:12" x14ac:dyDescent="0.25">
      <c r="A284" s="167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9"/>
    </row>
    <row r="285" spans="1:12" ht="15.75" thickBot="1" x14ac:dyDescent="0.3">
      <c r="A285" s="180"/>
      <c r="B285" s="211"/>
      <c r="C285" s="211"/>
      <c r="D285" s="211"/>
      <c r="E285" s="211"/>
      <c r="F285" s="211"/>
      <c r="G285" s="211"/>
      <c r="H285" s="211"/>
      <c r="I285" s="211"/>
      <c r="J285" s="211"/>
      <c r="K285" s="211"/>
      <c r="L285" s="181"/>
    </row>
    <row r="286" spans="1:12" x14ac:dyDescent="0.25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9"/>
    </row>
    <row r="287" spans="1:12" ht="15.75" thickBot="1" x14ac:dyDescent="0.3">
      <c r="A287" s="180"/>
      <c r="B287" s="211"/>
      <c r="C287" s="211"/>
      <c r="D287" s="211"/>
      <c r="E287" s="211"/>
      <c r="F287" s="211"/>
      <c r="G287" s="211"/>
      <c r="H287" s="211"/>
      <c r="I287" s="211"/>
      <c r="J287" s="211"/>
      <c r="K287" s="211"/>
      <c r="L287" s="181"/>
    </row>
    <row r="288" spans="1:12" x14ac:dyDescent="0.25">
      <c r="A288" s="167"/>
      <c r="B288" s="168"/>
      <c r="C288" s="168"/>
      <c r="D288" s="168"/>
      <c r="E288" s="168"/>
      <c r="F288" s="169"/>
      <c r="G288" s="230" t="s">
        <v>72</v>
      </c>
      <c r="H288" s="231"/>
      <c r="I288" s="231"/>
      <c r="J288" s="232"/>
      <c r="K288" s="230" t="s">
        <v>73</v>
      </c>
      <c r="L288" s="232"/>
    </row>
    <row r="289" spans="1:12" ht="15.75" thickBot="1" x14ac:dyDescent="0.3">
      <c r="A289" s="180"/>
      <c r="B289" s="211"/>
      <c r="C289" s="211"/>
      <c r="D289" s="211"/>
      <c r="E289" s="211"/>
      <c r="F289" s="181"/>
      <c r="G289" s="233"/>
      <c r="H289" s="234"/>
      <c r="I289" s="234"/>
      <c r="J289" s="235"/>
      <c r="K289" s="233"/>
      <c r="L289" s="235"/>
    </row>
    <row r="290" spans="1:12" x14ac:dyDescent="0.25">
      <c r="A290" s="167"/>
      <c r="B290" s="168"/>
      <c r="C290" s="168"/>
      <c r="D290" s="168"/>
      <c r="E290" s="168"/>
      <c r="F290" s="169"/>
      <c r="G290" s="230" t="s">
        <v>74</v>
      </c>
      <c r="H290" s="231"/>
      <c r="I290" s="231"/>
      <c r="J290" s="232"/>
      <c r="K290" s="230" t="s">
        <v>73</v>
      </c>
      <c r="L290" s="232"/>
    </row>
    <row r="291" spans="1:12" ht="15.75" thickBot="1" x14ac:dyDescent="0.3">
      <c r="A291" s="180"/>
      <c r="B291" s="211"/>
      <c r="C291" s="211"/>
      <c r="D291" s="211"/>
      <c r="E291" s="211"/>
      <c r="F291" s="181"/>
      <c r="G291" s="233"/>
      <c r="H291" s="234"/>
      <c r="I291" s="234"/>
      <c r="J291" s="235"/>
      <c r="K291" s="233"/>
      <c r="L291" s="235"/>
    </row>
    <row r="292" spans="1:12" ht="15.75" thickBot="1" x14ac:dyDescent="0.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</row>
    <row r="293" spans="1:12" x14ac:dyDescent="0.25">
      <c r="A293" s="167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9"/>
    </row>
    <row r="294" spans="1:12" ht="15.75" thickBot="1" x14ac:dyDescent="0.3">
      <c r="A294" s="180"/>
      <c r="B294" s="211"/>
      <c r="C294" s="211"/>
      <c r="D294" s="211"/>
      <c r="E294" s="211"/>
      <c r="F294" s="211"/>
      <c r="G294" s="211"/>
      <c r="H294" s="211"/>
      <c r="I294" s="211"/>
      <c r="J294" s="211"/>
      <c r="K294" s="211"/>
      <c r="L294" s="181"/>
    </row>
    <row r="295" spans="1:12" x14ac:dyDescent="0.25">
      <c r="A295" s="58" t="s">
        <v>76</v>
      </c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60"/>
    </row>
    <row r="296" spans="1:12" ht="15.75" thickBot="1" x14ac:dyDescent="0.3">
      <c r="A296" s="61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3"/>
    </row>
    <row r="297" spans="1:12" ht="15.75" thickBot="1" x14ac:dyDescent="0.3">
      <c r="A297" s="1" t="str">
        <f t="shared" ref="A297:B299" si="6">A6</f>
        <v xml:space="preserve">CLIENTE: SENAC </v>
      </c>
      <c r="B297" s="64" t="str">
        <f t="shared" si="6"/>
        <v>REPRESENTANTE: ANTONIO</v>
      </c>
      <c r="C297" s="65"/>
      <c r="D297" s="65"/>
      <c r="E297" s="65"/>
      <c r="F297" s="66"/>
      <c r="G297" s="64" t="str">
        <f>G6</f>
        <v>PEDIDO: 16/26</v>
      </c>
      <c r="H297" s="65"/>
      <c r="I297" s="66"/>
      <c r="J297" s="25" t="s">
        <v>2</v>
      </c>
      <c r="K297" s="27"/>
      <c r="L297" s="26"/>
    </row>
    <row r="298" spans="1:12" ht="15.75" thickBot="1" x14ac:dyDescent="0.3">
      <c r="A298" s="2" t="str">
        <f t="shared" si="6"/>
        <v xml:space="preserve">REF. CLIENTE:   </v>
      </c>
      <c r="B298" s="64" t="str">
        <f t="shared" si="6"/>
        <v>REF. SAC LS  -  05</v>
      </c>
      <c r="C298" s="65"/>
      <c r="D298" s="65"/>
      <c r="E298" s="65"/>
      <c r="F298" s="66"/>
      <c r="G298" s="64" t="str">
        <f>G7</f>
        <v>COLECAO : VERÃO /2026</v>
      </c>
      <c r="H298" s="65"/>
      <c r="I298" s="66"/>
      <c r="J298" s="58">
        <f>J7</f>
        <v>0</v>
      </c>
      <c r="K298" s="59"/>
      <c r="L298" s="60"/>
    </row>
    <row r="299" spans="1:12" ht="15.75" thickBot="1" x14ac:dyDescent="0.3">
      <c r="A299" s="2" t="str">
        <f t="shared" si="6"/>
        <v xml:space="preserve">REF:  ls :  KIT SENAC - 4 PEÇAS </v>
      </c>
      <c r="B299" s="64" t="str">
        <f t="shared" si="6"/>
        <v xml:space="preserve">MODELO: ORGANIZADOR - NECESSAIRE </v>
      </c>
      <c r="C299" s="65"/>
      <c r="D299" s="65"/>
      <c r="E299" s="65"/>
      <c r="F299" s="65"/>
      <c r="G299" s="65"/>
      <c r="H299" s="65"/>
      <c r="I299" s="66"/>
      <c r="J299" s="61"/>
      <c r="K299" s="62"/>
      <c r="L299" s="63"/>
    </row>
    <row r="300" spans="1:12" x14ac:dyDescent="0.25">
      <c r="A300" s="212" t="s">
        <v>67</v>
      </c>
      <c r="B300" s="214"/>
      <c r="C300" s="215"/>
      <c r="D300" s="215"/>
      <c r="E300" s="215"/>
      <c r="F300" s="216"/>
      <c r="G300" s="220" t="s">
        <v>68</v>
      </c>
      <c r="H300" s="221"/>
      <c r="I300" s="167"/>
      <c r="J300" s="168"/>
      <c r="K300" s="168"/>
      <c r="L300" s="169"/>
    </row>
    <row r="301" spans="1:12" ht="15.75" thickBot="1" x14ac:dyDescent="0.3">
      <c r="A301" s="213"/>
      <c r="B301" s="217"/>
      <c r="C301" s="218"/>
      <c r="D301" s="218"/>
      <c r="E301" s="218"/>
      <c r="F301" s="219"/>
      <c r="G301" s="222"/>
      <c r="H301" s="223"/>
      <c r="I301" s="180"/>
      <c r="J301" s="211"/>
      <c r="K301" s="211"/>
      <c r="L301" s="181"/>
    </row>
    <row r="302" spans="1:12" x14ac:dyDescent="0.25">
      <c r="A302" s="224" t="s">
        <v>3</v>
      </c>
      <c r="B302" s="224" t="s">
        <v>4</v>
      </c>
      <c r="C302" s="242">
        <f>C252</f>
        <v>22</v>
      </c>
      <c r="D302" s="89" t="s">
        <v>5</v>
      </c>
      <c r="E302" s="91"/>
      <c r="F302" s="228">
        <f>F252</f>
        <v>3</v>
      </c>
      <c r="G302" s="205" t="s">
        <v>6</v>
      </c>
      <c r="H302" s="209"/>
      <c r="I302" s="206"/>
      <c r="J302" s="236">
        <f>J252</f>
        <v>66</v>
      </c>
      <c r="K302" s="237"/>
      <c r="L302" s="238"/>
    </row>
    <row r="303" spans="1:12" ht="15.75" thickBot="1" x14ac:dyDescent="0.3">
      <c r="A303" s="225"/>
      <c r="B303" s="225"/>
      <c r="C303" s="243"/>
      <c r="D303" s="92"/>
      <c r="E303" s="94"/>
      <c r="F303" s="229"/>
      <c r="G303" s="207"/>
      <c r="H303" s="210"/>
      <c r="I303" s="208"/>
      <c r="J303" s="239"/>
      <c r="K303" s="240"/>
      <c r="L303" s="241"/>
    </row>
    <row r="304" spans="1:12" ht="15" customHeight="1" x14ac:dyDescent="0.25">
      <c r="A304" s="205" t="s">
        <v>77</v>
      </c>
      <c r="B304" s="206"/>
      <c r="C304" s="205" t="s">
        <v>78</v>
      </c>
      <c r="D304" s="209"/>
      <c r="E304" s="209"/>
      <c r="F304" s="209"/>
      <c r="G304" s="209"/>
      <c r="H304" s="206"/>
      <c r="I304" s="205" t="s">
        <v>71</v>
      </c>
      <c r="J304" s="209"/>
      <c r="K304" s="209"/>
      <c r="L304" s="206"/>
    </row>
    <row r="305" spans="1:12" ht="15.75" customHeight="1" thickBot="1" x14ac:dyDescent="0.3">
      <c r="A305" s="207"/>
      <c r="B305" s="208"/>
      <c r="C305" s="207"/>
      <c r="D305" s="210"/>
      <c r="E305" s="210"/>
      <c r="F305" s="210"/>
      <c r="G305" s="210"/>
      <c r="H305" s="208"/>
      <c r="I305" s="207"/>
      <c r="J305" s="210"/>
      <c r="K305" s="210"/>
      <c r="L305" s="208"/>
    </row>
    <row r="306" spans="1:12" x14ac:dyDescent="0.25">
      <c r="A306" s="167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9"/>
    </row>
    <row r="307" spans="1:12" ht="15.75" thickBot="1" x14ac:dyDescent="0.3">
      <c r="A307" s="180"/>
      <c r="B307" s="211"/>
      <c r="C307" s="211"/>
      <c r="D307" s="211"/>
      <c r="E307" s="211"/>
      <c r="F307" s="211"/>
      <c r="G307" s="211"/>
      <c r="H307" s="211"/>
      <c r="I307" s="211"/>
      <c r="J307" s="211"/>
      <c r="K307" s="211"/>
      <c r="L307" s="181"/>
    </row>
    <row r="308" spans="1:12" x14ac:dyDescent="0.25">
      <c r="A308" s="167"/>
      <c r="B308" s="168"/>
      <c r="C308" s="168"/>
      <c r="D308" s="168"/>
      <c r="E308" s="168"/>
      <c r="F308" s="169"/>
      <c r="G308" s="230" t="s">
        <v>72</v>
      </c>
      <c r="H308" s="231"/>
      <c r="I308" s="231"/>
      <c r="J308" s="232"/>
      <c r="K308" s="230" t="s">
        <v>73</v>
      </c>
      <c r="L308" s="232"/>
    </row>
    <row r="309" spans="1:12" ht="15.75" thickBot="1" x14ac:dyDescent="0.3">
      <c r="A309" s="180"/>
      <c r="B309" s="211"/>
      <c r="C309" s="211"/>
      <c r="D309" s="211"/>
      <c r="E309" s="211"/>
      <c r="F309" s="181"/>
      <c r="G309" s="233"/>
      <c r="H309" s="234"/>
      <c r="I309" s="234"/>
      <c r="J309" s="235"/>
      <c r="K309" s="233"/>
      <c r="L309" s="235"/>
    </row>
    <row r="310" spans="1:12" x14ac:dyDescent="0.25">
      <c r="A310" s="167"/>
      <c r="B310" s="168"/>
      <c r="C310" s="168"/>
      <c r="D310" s="168"/>
      <c r="E310" s="168"/>
      <c r="F310" s="169"/>
      <c r="G310" s="230" t="s">
        <v>74</v>
      </c>
      <c r="H310" s="231"/>
      <c r="I310" s="231"/>
      <c r="J310" s="232"/>
      <c r="K310" s="230" t="s">
        <v>73</v>
      </c>
      <c r="L310" s="232"/>
    </row>
    <row r="311" spans="1:12" ht="15.75" thickBot="1" x14ac:dyDescent="0.3">
      <c r="A311" s="180"/>
      <c r="B311" s="211"/>
      <c r="C311" s="211"/>
      <c r="D311" s="211"/>
      <c r="E311" s="211"/>
      <c r="F311" s="181"/>
      <c r="G311" s="233"/>
      <c r="H311" s="234"/>
      <c r="I311" s="234"/>
      <c r="J311" s="235"/>
      <c r="K311" s="233"/>
      <c r="L311" s="235"/>
    </row>
    <row r="312" spans="1:12" x14ac:dyDescent="0.25">
      <c r="A312" s="167">
        <f>A69</f>
        <v>0</v>
      </c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9"/>
    </row>
    <row r="313" spans="1:12" x14ac:dyDescent="0.25">
      <c r="A313" s="170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2"/>
    </row>
    <row r="314" spans="1:12" x14ac:dyDescent="0.25">
      <c r="A314" s="170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2"/>
    </row>
    <row r="315" spans="1:12" x14ac:dyDescent="0.25">
      <c r="A315" s="170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2"/>
    </row>
    <row r="316" spans="1:12" x14ac:dyDescent="0.25">
      <c r="A316" s="170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2"/>
    </row>
    <row r="317" spans="1:12" x14ac:dyDescent="0.25">
      <c r="A317" s="170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2"/>
    </row>
    <row r="318" spans="1:12" x14ac:dyDescent="0.25">
      <c r="A318" s="170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2"/>
    </row>
    <row r="319" spans="1:12" x14ac:dyDescent="0.25">
      <c r="A319" s="170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2"/>
    </row>
    <row r="320" spans="1:12" x14ac:dyDescent="0.25">
      <c r="A320" s="170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2"/>
    </row>
    <row r="321" spans="1:12" x14ac:dyDescent="0.25">
      <c r="A321" s="170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2"/>
    </row>
    <row r="322" spans="1:12" ht="51.75" customHeight="1" thickBot="1" x14ac:dyDescent="0.3">
      <c r="A322" s="180"/>
      <c r="B322" s="211"/>
      <c r="C322" s="211"/>
      <c r="D322" s="211"/>
      <c r="E322" s="211"/>
      <c r="F322" s="211"/>
      <c r="G322" s="211"/>
      <c r="H322" s="211"/>
      <c r="I322" s="211"/>
      <c r="J322" s="211"/>
      <c r="K322" s="211"/>
      <c r="L322" s="181"/>
    </row>
    <row r="323" spans="1:12" x14ac:dyDescent="0.25">
      <c r="A323" s="58" t="str">
        <f>A1</f>
        <v xml:space="preserve">LS </v>
      </c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60"/>
    </row>
    <row r="324" spans="1:12" ht="15.75" thickBot="1" x14ac:dyDescent="0.3">
      <c r="A324" s="61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3"/>
    </row>
    <row r="325" spans="1:12" x14ac:dyDescent="0.25">
      <c r="A325" s="244" t="s">
        <v>79</v>
      </c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6"/>
    </row>
    <row r="326" spans="1:12" ht="15.75" thickBot="1" x14ac:dyDescent="0.3">
      <c r="A326" s="247"/>
      <c r="B326" s="248"/>
      <c r="C326" s="248"/>
      <c r="D326" s="248"/>
      <c r="E326" s="248"/>
      <c r="F326" s="248"/>
      <c r="G326" s="248"/>
      <c r="H326" s="248"/>
      <c r="I326" s="248"/>
      <c r="J326" s="248"/>
      <c r="K326" s="248"/>
      <c r="L326" s="249"/>
    </row>
    <row r="327" spans="1:12" ht="15.75" thickBot="1" x14ac:dyDescent="0.3">
      <c r="A327" s="1" t="str">
        <f t="shared" ref="A327:B329" si="7">A6</f>
        <v xml:space="preserve">CLIENTE: SENAC </v>
      </c>
      <c r="B327" s="64" t="str">
        <f t="shared" si="7"/>
        <v>REPRESENTANTE: ANTONIO</v>
      </c>
      <c r="C327" s="65"/>
      <c r="D327" s="65"/>
      <c r="E327" s="65"/>
      <c r="F327" s="66"/>
      <c r="G327" s="64" t="str">
        <f>G6</f>
        <v>PEDIDO: 16/26</v>
      </c>
      <c r="H327" s="65"/>
      <c r="I327" s="66"/>
      <c r="J327" s="25" t="str">
        <f>J6</f>
        <v xml:space="preserve">QTD. MOSTR. LS </v>
      </c>
      <c r="K327" s="27"/>
      <c r="L327" s="26"/>
    </row>
    <row r="328" spans="1:12" ht="15.75" thickBot="1" x14ac:dyDescent="0.3">
      <c r="A328" s="2" t="str">
        <f t="shared" si="7"/>
        <v xml:space="preserve">REF. CLIENTE:   </v>
      </c>
      <c r="B328" s="64" t="str">
        <f t="shared" si="7"/>
        <v>REF. SAC LS  -  05</v>
      </c>
      <c r="C328" s="65"/>
      <c r="D328" s="65"/>
      <c r="E328" s="65"/>
      <c r="F328" s="66"/>
      <c r="G328" s="64" t="str">
        <f>G7</f>
        <v>COLECAO : VERÃO /2026</v>
      </c>
      <c r="H328" s="65"/>
      <c r="I328" s="66"/>
      <c r="J328" s="58">
        <f>J7</f>
        <v>0</v>
      </c>
      <c r="K328" s="59"/>
      <c r="L328" s="60"/>
    </row>
    <row r="329" spans="1:12" ht="15.75" thickBot="1" x14ac:dyDescent="0.3">
      <c r="A329" s="2" t="str">
        <f t="shared" si="7"/>
        <v xml:space="preserve">REF:  ls :  KIT SENAC - 4 PEÇAS </v>
      </c>
      <c r="B329" s="64" t="str">
        <f t="shared" si="7"/>
        <v xml:space="preserve">MODELO: ORGANIZADOR - NECESSAIRE </v>
      </c>
      <c r="C329" s="65"/>
      <c r="D329" s="65"/>
      <c r="E329" s="65"/>
      <c r="F329" s="65"/>
      <c r="G329" s="65"/>
      <c r="H329" s="65"/>
      <c r="I329" s="66"/>
      <c r="J329" s="61"/>
      <c r="K329" s="62"/>
      <c r="L329" s="63"/>
    </row>
    <row r="330" spans="1:12" ht="15.75" thickBot="1" x14ac:dyDescent="0.3">
      <c r="A330" s="25" t="s">
        <v>80</v>
      </c>
      <c r="B330" s="27"/>
      <c r="C330" s="27"/>
      <c r="D330" s="26"/>
      <c r="E330" s="230" t="s">
        <v>81</v>
      </c>
      <c r="F330" s="231"/>
      <c r="G330" s="231"/>
      <c r="H330" s="231"/>
      <c r="I330" s="231"/>
      <c r="J330" s="231"/>
      <c r="K330" s="231"/>
      <c r="L330" s="232"/>
    </row>
    <row r="331" spans="1:12" ht="15.75" thickBot="1" x14ac:dyDescent="0.3">
      <c r="A331" s="89" t="s">
        <v>82</v>
      </c>
      <c r="B331" s="90"/>
      <c r="C331" s="90"/>
      <c r="D331" s="91"/>
      <c r="E331" s="233"/>
      <c r="F331" s="234"/>
      <c r="G331" s="234"/>
      <c r="H331" s="234"/>
      <c r="I331" s="234"/>
      <c r="J331" s="234"/>
      <c r="K331" s="234"/>
      <c r="L331" s="235"/>
    </row>
    <row r="332" spans="1:12" ht="15.75" thickBot="1" x14ac:dyDescent="0.3">
      <c r="A332" s="92"/>
      <c r="B332" s="93"/>
      <c r="C332" s="93"/>
      <c r="D332" s="94"/>
      <c r="E332" s="250" t="s">
        <v>83</v>
      </c>
      <c r="F332" s="251"/>
      <c r="G332" s="251"/>
      <c r="H332" s="251"/>
      <c r="I332" s="251"/>
      <c r="J332" s="251"/>
      <c r="K332" s="251"/>
      <c r="L332" s="252"/>
    </row>
    <row r="333" spans="1:12" x14ac:dyDescent="0.25">
      <c r="A333" s="89" t="s">
        <v>84</v>
      </c>
      <c r="B333" s="90"/>
      <c r="C333" s="90"/>
      <c r="D333" s="91"/>
      <c r="E333" s="253"/>
      <c r="F333" s="254"/>
      <c r="G333" s="254"/>
      <c r="H333" s="254"/>
      <c r="I333" s="254"/>
      <c r="J333" s="254"/>
      <c r="K333" s="254"/>
      <c r="L333" s="255"/>
    </row>
    <row r="334" spans="1:12" ht="15.75" thickBot="1" x14ac:dyDescent="0.3">
      <c r="A334" s="92"/>
      <c r="B334" s="93"/>
      <c r="C334" s="93"/>
      <c r="D334" s="94"/>
      <c r="E334" s="256"/>
      <c r="F334" s="257"/>
      <c r="G334" s="257"/>
      <c r="H334" s="257"/>
      <c r="I334" s="257"/>
      <c r="J334" s="257"/>
      <c r="K334" s="257"/>
      <c r="L334" s="258"/>
    </row>
    <row r="335" spans="1:12" ht="15.75" customHeight="1" thickBot="1" x14ac:dyDescent="0.3">
      <c r="A335" s="7" t="s">
        <v>11</v>
      </c>
      <c r="B335" s="8"/>
      <c r="C335" s="25">
        <f>C92</f>
        <v>3</v>
      </c>
      <c r="D335" s="27"/>
      <c r="E335" s="26"/>
      <c r="F335" s="25" t="s">
        <v>46</v>
      </c>
      <c r="G335" s="26"/>
      <c r="H335" s="25">
        <f>H92</f>
        <v>0</v>
      </c>
      <c r="I335" s="26"/>
      <c r="J335" s="161" t="s">
        <v>46</v>
      </c>
      <c r="K335" s="162"/>
      <c r="L335" s="3" t="s">
        <v>36</v>
      </c>
    </row>
    <row r="336" spans="1:12" ht="15.75" customHeight="1" thickBot="1" x14ac:dyDescent="0.3">
      <c r="A336" s="7" t="s">
        <v>47</v>
      </c>
      <c r="B336" s="2" t="s">
        <v>16</v>
      </c>
      <c r="C336" s="2" t="s">
        <v>17</v>
      </c>
      <c r="D336" s="25" t="s">
        <v>18</v>
      </c>
      <c r="E336" s="26"/>
      <c r="F336" s="139" t="s">
        <v>48</v>
      </c>
      <c r="G336" s="141"/>
      <c r="H336" s="2" t="s">
        <v>27</v>
      </c>
      <c r="I336" s="7" t="s">
        <v>21</v>
      </c>
      <c r="J336" s="139" t="s">
        <v>48</v>
      </c>
      <c r="K336" s="141"/>
      <c r="L336" s="14"/>
    </row>
    <row r="337" spans="1:12" ht="15.75" customHeight="1" thickBot="1" x14ac:dyDescent="0.3">
      <c r="A337" s="15" t="str">
        <f t="shared" ref="A337:C352" si="8">A94</f>
        <v xml:space="preserve"> EC - SENAC-  ALGODÃO </v>
      </c>
      <c r="B337" s="16">
        <f t="shared" si="8"/>
        <v>1</v>
      </c>
      <c r="C337" s="16" t="str">
        <f t="shared" si="8"/>
        <v>Branco</v>
      </c>
      <c r="D337" s="163">
        <f>SUM(B337*C335)</f>
        <v>3</v>
      </c>
      <c r="E337" s="164"/>
      <c r="F337" s="165"/>
      <c r="G337" s="166"/>
      <c r="H337" s="16">
        <f>H94</f>
        <v>0</v>
      </c>
      <c r="I337" s="17">
        <f>SUM(B337*H335)</f>
        <v>0</v>
      </c>
      <c r="J337" s="165"/>
      <c r="K337" s="166"/>
      <c r="L337" s="16"/>
    </row>
    <row r="338" spans="1:12" ht="15.75" customHeight="1" thickBot="1" x14ac:dyDescent="0.3">
      <c r="A338" s="15" t="str">
        <f t="shared" si="8"/>
        <v>Linha 60</v>
      </c>
      <c r="B338" s="16">
        <f t="shared" si="8"/>
        <v>0.3</v>
      </c>
      <c r="C338" s="16" t="str">
        <f t="shared" si="8"/>
        <v xml:space="preserve">PRETA </v>
      </c>
      <c r="D338" s="163">
        <f>SUM(B338*C335)</f>
        <v>0.89999999999999991</v>
      </c>
      <c r="E338" s="164"/>
      <c r="F338" s="165"/>
      <c r="G338" s="166"/>
      <c r="H338" s="16">
        <f>H95</f>
        <v>0</v>
      </c>
      <c r="I338" s="17">
        <f>SUM(B338*H335)</f>
        <v>0</v>
      </c>
      <c r="J338" s="165"/>
      <c r="K338" s="166"/>
      <c r="L338" s="16"/>
    </row>
    <row r="339" spans="1:12" ht="15.75" customHeight="1" thickBot="1" x14ac:dyDescent="0.3">
      <c r="A339" s="15">
        <f t="shared" si="8"/>
        <v>0</v>
      </c>
      <c r="B339" s="16">
        <f t="shared" si="8"/>
        <v>0</v>
      </c>
      <c r="C339" s="16">
        <f t="shared" si="8"/>
        <v>0</v>
      </c>
      <c r="D339" s="163">
        <f>SUM(B339*C335)</f>
        <v>0</v>
      </c>
      <c r="E339" s="164"/>
      <c r="F339" s="165"/>
      <c r="G339" s="166"/>
      <c r="H339" s="16">
        <f t="shared" ref="H339:H370" si="9">H96</f>
        <v>0</v>
      </c>
      <c r="I339" s="17">
        <f>SUM(B339*H335)</f>
        <v>0</v>
      </c>
      <c r="J339" s="165"/>
      <c r="K339" s="166"/>
      <c r="L339" s="16"/>
    </row>
    <row r="340" spans="1:12" ht="15.75" customHeight="1" thickBot="1" x14ac:dyDescent="0.3">
      <c r="A340" s="15">
        <f t="shared" si="8"/>
        <v>0</v>
      </c>
      <c r="B340" s="16">
        <f t="shared" si="8"/>
        <v>0</v>
      </c>
      <c r="C340" s="16">
        <f t="shared" si="8"/>
        <v>0</v>
      </c>
      <c r="D340" s="163">
        <f>SUM(B340*C335)</f>
        <v>0</v>
      </c>
      <c r="E340" s="164"/>
      <c r="F340" s="165"/>
      <c r="G340" s="166"/>
      <c r="H340" s="16">
        <f t="shared" si="9"/>
        <v>0</v>
      </c>
      <c r="I340" s="17">
        <f>SUM(B340*H335)</f>
        <v>0</v>
      </c>
      <c r="J340" s="165"/>
      <c r="K340" s="166"/>
      <c r="L340" s="16"/>
    </row>
    <row r="341" spans="1:12" ht="15.75" customHeight="1" thickBot="1" x14ac:dyDescent="0.3">
      <c r="A341" s="15">
        <f t="shared" si="8"/>
        <v>0</v>
      </c>
      <c r="B341" s="16">
        <f t="shared" si="8"/>
        <v>0</v>
      </c>
      <c r="C341" s="16">
        <f t="shared" si="8"/>
        <v>0</v>
      </c>
      <c r="D341" s="163">
        <f>SUM(B341*C335)</f>
        <v>0</v>
      </c>
      <c r="E341" s="164"/>
      <c r="F341" s="165"/>
      <c r="G341" s="166"/>
      <c r="H341" s="16">
        <f t="shared" si="9"/>
        <v>0</v>
      </c>
      <c r="I341" s="17">
        <f>SUM(B341*H335)</f>
        <v>0</v>
      </c>
      <c r="J341" s="165"/>
      <c r="K341" s="166"/>
      <c r="L341" s="16"/>
    </row>
    <row r="342" spans="1:12" ht="15.75" customHeight="1" thickBot="1" x14ac:dyDescent="0.3">
      <c r="A342" s="15" t="str">
        <f t="shared" si="8"/>
        <v xml:space="preserve">FITA DE Algodão </v>
      </c>
      <c r="B342" s="16">
        <f t="shared" si="8"/>
        <v>0.6</v>
      </c>
      <c r="C342" s="16" t="str">
        <f t="shared" si="8"/>
        <v xml:space="preserve">PRETA </v>
      </c>
      <c r="D342" s="163">
        <f>SUM(B342*C335)</f>
        <v>1.7999999999999998</v>
      </c>
      <c r="E342" s="164"/>
      <c r="F342" s="165"/>
      <c r="G342" s="166"/>
      <c r="H342" s="16">
        <f t="shared" si="9"/>
        <v>0</v>
      </c>
      <c r="I342" s="17">
        <f>SUM(B342*H335)</f>
        <v>0</v>
      </c>
      <c r="J342" s="165"/>
      <c r="K342" s="166"/>
      <c r="L342" s="16"/>
    </row>
    <row r="343" spans="1:12" ht="15.75" customHeight="1" thickBot="1" x14ac:dyDescent="0.3">
      <c r="A343" s="15" t="str">
        <f t="shared" si="8"/>
        <v xml:space="preserve">alça de mão 20 cm (3X) </v>
      </c>
      <c r="B343" s="16">
        <v>16</v>
      </c>
      <c r="C343" s="16">
        <f t="shared" si="8"/>
        <v>0</v>
      </c>
      <c r="D343" s="163">
        <f>SUM(B343*C335)</f>
        <v>48</v>
      </c>
      <c r="E343" s="164"/>
      <c r="F343" s="165"/>
      <c r="G343" s="166"/>
      <c r="H343" s="16">
        <f t="shared" si="9"/>
        <v>0</v>
      </c>
      <c r="I343" s="17">
        <f>SUM(B343*H335)</f>
        <v>0</v>
      </c>
      <c r="J343" s="165"/>
      <c r="K343" s="166"/>
      <c r="L343" s="16"/>
    </row>
    <row r="344" spans="1:12" ht="15.75" customHeight="1" thickBot="1" x14ac:dyDescent="0.3">
      <c r="A344" s="15" t="str">
        <f t="shared" si="8"/>
        <v xml:space="preserve">CURSOR 6 COM ARGOLA  JJ FIVELAS </v>
      </c>
      <c r="B344" s="16">
        <f t="shared" si="8"/>
        <v>6</v>
      </c>
      <c r="C344" s="16" t="str">
        <f t="shared" si="8"/>
        <v xml:space="preserve">PRETA </v>
      </c>
      <c r="D344" s="163">
        <f>SUM(B344*C335)</f>
        <v>18</v>
      </c>
      <c r="E344" s="164"/>
      <c r="F344" s="165"/>
      <c r="G344" s="166"/>
      <c r="H344" s="16">
        <f t="shared" si="9"/>
        <v>0</v>
      </c>
      <c r="I344" s="17">
        <f>SUM(B344*H335)</f>
        <v>0</v>
      </c>
      <c r="J344" s="165"/>
      <c r="K344" s="166"/>
      <c r="L344" s="16"/>
    </row>
    <row r="345" spans="1:12" ht="15.75" customHeight="1" thickBot="1" x14ac:dyDescent="0.3">
      <c r="A345" s="15" t="str">
        <f>A102</f>
        <v xml:space="preserve">ZÍPER 6 </v>
      </c>
      <c r="B345" s="16">
        <f t="shared" si="8"/>
        <v>3.5</v>
      </c>
      <c r="C345" s="16" t="str">
        <f t="shared" si="8"/>
        <v xml:space="preserve">PRETA </v>
      </c>
      <c r="D345" s="163">
        <f>SUM(B345*C335)</f>
        <v>10.5</v>
      </c>
      <c r="E345" s="164"/>
      <c r="F345" s="165"/>
      <c r="G345" s="166"/>
      <c r="H345" s="16">
        <f t="shared" si="9"/>
        <v>0</v>
      </c>
      <c r="I345" s="17">
        <f>SUM(B345*H335)</f>
        <v>0</v>
      </c>
      <c r="J345" s="165"/>
      <c r="K345" s="166"/>
      <c r="L345" s="16"/>
    </row>
    <row r="346" spans="1:12" ht="15.75" customHeight="1" thickBot="1" x14ac:dyDescent="0.3">
      <c r="A346" s="15" t="str">
        <f t="shared" si="8"/>
        <v xml:space="preserve">BORNEON 25 MM </v>
      </c>
      <c r="B346" s="16">
        <f t="shared" si="8"/>
        <v>9.5</v>
      </c>
      <c r="C346" s="16" t="str">
        <f t="shared" si="8"/>
        <v xml:space="preserve">PRETA </v>
      </c>
      <c r="D346" s="163">
        <f>SUM(B346*C335)</f>
        <v>28.5</v>
      </c>
      <c r="E346" s="164"/>
      <c r="F346" s="165"/>
      <c r="G346" s="166"/>
      <c r="H346" s="16">
        <f t="shared" si="9"/>
        <v>0</v>
      </c>
      <c r="I346" s="17">
        <f>SUM(B346*H335)</f>
        <v>0</v>
      </c>
      <c r="J346" s="165"/>
      <c r="K346" s="166"/>
      <c r="L346" s="16"/>
    </row>
    <row r="347" spans="1:12" ht="15.75" customHeight="1" thickBot="1" x14ac:dyDescent="0.3">
      <c r="A347" s="15">
        <f t="shared" si="8"/>
        <v>0</v>
      </c>
      <c r="B347" s="16">
        <f t="shared" si="8"/>
        <v>0</v>
      </c>
      <c r="C347" s="16">
        <f t="shared" si="8"/>
        <v>0</v>
      </c>
      <c r="D347" s="163">
        <f>SUM(B347*C335)</f>
        <v>0</v>
      </c>
      <c r="E347" s="164"/>
      <c r="F347" s="165"/>
      <c r="G347" s="166"/>
      <c r="H347" s="16">
        <f t="shared" si="9"/>
        <v>0</v>
      </c>
      <c r="I347" s="17">
        <f>SUM(B347*H335)</f>
        <v>0</v>
      </c>
      <c r="J347" s="165"/>
      <c r="K347" s="166"/>
      <c r="L347" s="16"/>
    </row>
    <row r="348" spans="1:12" ht="15.75" customHeight="1" thickBot="1" x14ac:dyDescent="0.3">
      <c r="A348" s="15">
        <f t="shared" si="8"/>
        <v>0</v>
      </c>
      <c r="B348" s="16">
        <f t="shared" si="8"/>
        <v>0</v>
      </c>
      <c r="C348" s="16">
        <f t="shared" si="8"/>
        <v>0</v>
      </c>
      <c r="D348" s="163">
        <f>SUM(B348*C335)</f>
        <v>0</v>
      </c>
      <c r="E348" s="164"/>
      <c r="F348" s="165"/>
      <c r="G348" s="166"/>
      <c r="H348" s="16">
        <f t="shared" si="9"/>
        <v>0</v>
      </c>
      <c r="I348" s="17">
        <f>SUM(B348*H335)</f>
        <v>0</v>
      </c>
      <c r="J348" s="165"/>
      <c r="K348" s="166"/>
      <c r="L348" s="16"/>
    </row>
    <row r="349" spans="1:12" ht="15.75" customHeight="1" thickBot="1" x14ac:dyDescent="0.3">
      <c r="A349" s="15">
        <f t="shared" si="8"/>
        <v>0</v>
      </c>
      <c r="B349" s="16">
        <f t="shared" si="8"/>
        <v>0</v>
      </c>
      <c r="C349" s="16">
        <f t="shared" si="8"/>
        <v>0</v>
      </c>
      <c r="D349" s="163">
        <f>SUM(B349*C335)</f>
        <v>0</v>
      </c>
      <c r="E349" s="164"/>
      <c r="F349" s="165"/>
      <c r="G349" s="166"/>
      <c r="H349" s="16">
        <f t="shared" si="9"/>
        <v>0</v>
      </c>
      <c r="I349" s="17">
        <f>SUM(B349*H335)</f>
        <v>0</v>
      </c>
      <c r="J349" s="165"/>
      <c r="K349" s="166"/>
      <c r="L349" s="16"/>
    </row>
    <row r="350" spans="1:12" ht="15.75" customHeight="1" thickBot="1" x14ac:dyDescent="0.3">
      <c r="A350" s="15">
        <f t="shared" si="8"/>
        <v>0</v>
      </c>
      <c r="B350" s="16">
        <f t="shared" si="8"/>
        <v>0</v>
      </c>
      <c r="C350" s="16">
        <f t="shared" si="8"/>
        <v>0</v>
      </c>
      <c r="D350" s="163">
        <f>SUM(B350*C335)</f>
        <v>0</v>
      </c>
      <c r="E350" s="164"/>
      <c r="F350" s="165"/>
      <c r="G350" s="166"/>
      <c r="H350" s="16">
        <f t="shared" si="9"/>
        <v>0</v>
      </c>
      <c r="I350" s="17">
        <f>SUM(B350*H335)</f>
        <v>0</v>
      </c>
      <c r="J350" s="165"/>
      <c r="K350" s="166"/>
      <c r="L350" s="16"/>
    </row>
    <row r="351" spans="1:12" ht="15.75" customHeight="1" thickBot="1" x14ac:dyDescent="0.3">
      <c r="A351" s="15">
        <f t="shared" si="8"/>
        <v>0</v>
      </c>
      <c r="B351" s="16">
        <f t="shared" si="8"/>
        <v>0</v>
      </c>
      <c r="C351" s="16">
        <f t="shared" si="8"/>
        <v>0</v>
      </c>
      <c r="D351" s="163">
        <f>SUM(B351*C335)</f>
        <v>0</v>
      </c>
      <c r="E351" s="164"/>
      <c r="F351" s="165"/>
      <c r="G351" s="166"/>
      <c r="H351" s="16">
        <f t="shared" si="9"/>
        <v>0</v>
      </c>
      <c r="I351" s="17">
        <f>SUM(B351*H335)</f>
        <v>0</v>
      </c>
      <c r="J351" s="165"/>
      <c r="K351" s="166"/>
      <c r="L351" s="16"/>
    </row>
    <row r="352" spans="1:12" ht="15.75" customHeight="1" thickBot="1" x14ac:dyDescent="0.3">
      <c r="A352" s="15">
        <f t="shared" si="8"/>
        <v>0</v>
      </c>
      <c r="B352" s="16">
        <f t="shared" si="8"/>
        <v>0</v>
      </c>
      <c r="C352" s="16">
        <f t="shared" si="8"/>
        <v>0</v>
      </c>
      <c r="D352" s="163">
        <f>SUM(B352*C335)</f>
        <v>0</v>
      </c>
      <c r="E352" s="164"/>
      <c r="F352" s="165"/>
      <c r="G352" s="166"/>
      <c r="H352" s="16">
        <f t="shared" si="9"/>
        <v>0</v>
      </c>
      <c r="I352" s="17">
        <f>SUM(B352*H335)</f>
        <v>0</v>
      </c>
      <c r="J352" s="165"/>
      <c r="K352" s="166"/>
      <c r="L352" s="16"/>
    </row>
    <row r="353" spans="1:12" ht="15.75" customHeight="1" thickBot="1" x14ac:dyDescent="0.3">
      <c r="A353" s="15">
        <f>A110</f>
        <v>0</v>
      </c>
      <c r="B353" s="16">
        <f t="shared" ref="A353:C368" si="10">B110</f>
        <v>0</v>
      </c>
      <c r="C353" s="16">
        <f t="shared" si="10"/>
        <v>0</v>
      </c>
      <c r="D353" s="163">
        <f>SUM(B353*C335)</f>
        <v>0</v>
      </c>
      <c r="E353" s="164"/>
      <c r="F353" s="165"/>
      <c r="G353" s="166"/>
      <c r="H353" s="16">
        <f t="shared" si="9"/>
        <v>0</v>
      </c>
      <c r="I353" s="17">
        <f>SUM(B353*H335)</f>
        <v>0</v>
      </c>
      <c r="J353" s="165"/>
      <c r="K353" s="166"/>
      <c r="L353" s="16"/>
    </row>
    <row r="354" spans="1:12" ht="15.75" customHeight="1" thickBot="1" x14ac:dyDescent="0.3">
      <c r="A354" s="15">
        <f t="shared" si="10"/>
        <v>0</v>
      </c>
      <c r="B354" s="16">
        <f t="shared" si="10"/>
        <v>0</v>
      </c>
      <c r="C354" s="16">
        <f t="shared" si="10"/>
        <v>0</v>
      </c>
      <c r="D354" s="163">
        <f>SUM(B354*C335)</f>
        <v>0</v>
      </c>
      <c r="E354" s="164"/>
      <c r="F354" s="165"/>
      <c r="G354" s="166"/>
      <c r="H354" s="16">
        <f t="shared" si="9"/>
        <v>0</v>
      </c>
      <c r="I354" s="17">
        <f>SUM(B354*H335)</f>
        <v>0</v>
      </c>
      <c r="J354" s="165"/>
      <c r="K354" s="166"/>
      <c r="L354" s="16"/>
    </row>
    <row r="355" spans="1:12" ht="15.75" customHeight="1" thickBot="1" x14ac:dyDescent="0.3">
      <c r="A355" s="15">
        <f t="shared" si="10"/>
        <v>0</v>
      </c>
      <c r="B355" s="16">
        <f t="shared" si="10"/>
        <v>0</v>
      </c>
      <c r="C355" s="16">
        <f t="shared" si="10"/>
        <v>0</v>
      </c>
      <c r="D355" s="163">
        <f>SUM(B355*C335)</f>
        <v>0</v>
      </c>
      <c r="E355" s="164"/>
      <c r="F355" s="165"/>
      <c r="G355" s="166"/>
      <c r="H355" s="16">
        <f t="shared" si="9"/>
        <v>0</v>
      </c>
      <c r="I355" s="17">
        <f>SUM(B355*H335)</f>
        <v>0</v>
      </c>
      <c r="J355" s="165"/>
      <c r="K355" s="166"/>
      <c r="L355" s="16"/>
    </row>
    <row r="356" spans="1:12" ht="15.75" customHeight="1" thickBot="1" x14ac:dyDescent="0.3">
      <c r="A356" s="15">
        <f t="shared" si="10"/>
        <v>0</v>
      </c>
      <c r="B356" s="16">
        <f t="shared" si="10"/>
        <v>0</v>
      </c>
      <c r="C356" s="16">
        <f t="shared" si="10"/>
        <v>0</v>
      </c>
      <c r="D356" s="163">
        <f>SUM(B356*C335)</f>
        <v>0</v>
      </c>
      <c r="E356" s="164"/>
      <c r="F356" s="165"/>
      <c r="G356" s="166"/>
      <c r="H356" s="16">
        <f t="shared" si="9"/>
        <v>0</v>
      </c>
      <c r="I356" s="17">
        <f>SUM(B356*H335)</f>
        <v>0</v>
      </c>
      <c r="J356" s="165"/>
      <c r="K356" s="166"/>
      <c r="L356" s="16"/>
    </row>
    <row r="357" spans="1:12" ht="15.75" customHeight="1" thickBot="1" x14ac:dyDescent="0.3">
      <c r="A357" s="15">
        <f t="shared" si="10"/>
        <v>0</v>
      </c>
      <c r="B357" s="16">
        <f t="shared" si="10"/>
        <v>0</v>
      </c>
      <c r="C357" s="16">
        <f t="shared" si="10"/>
        <v>0</v>
      </c>
      <c r="D357" s="163">
        <f>SUM(B357*C335)</f>
        <v>0</v>
      </c>
      <c r="E357" s="164"/>
      <c r="F357" s="165"/>
      <c r="G357" s="166"/>
      <c r="H357" s="16">
        <f t="shared" si="9"/>
        <v>0</v>
      </c>
      <c r="I357" s="17">
        <f>SUM(B357*H335)</f>
        <v>0</v>
      </c>
      <c r="J357" s="165"/>
      <c r="K357" s="166"/>
      <c r="L357" s="16"/>
    </row>
    <row r="358" spans="1:12" ht="15.75" customHeight="1" thickBot="1" x14ac:dyDescent="0.3">
      <c r="A358" s="15">
        <f t="shared" si="10"/>
        <v>0</v>
      </c>
      <c r="B358" s="16">
        <f t="shared" si="10"/>
        <v>0</v>
      </c>
      <c r="C358" s="16">
        <f t="shared" si="10"/>
        <v>0</v>
      </c>
      <c r="D358" s="163">
        <f>SUM(B358*C335)</f>
        <v>0</v>
      </c>
      <c r="E358" s="164"/>
      <c r="F358" s="165"/>
      <c r="G358" s="166"/>
      <c r="H358" s="16">
        <f t="shared" si="9"/>
        <v>0</v>
      </c>
      <c r="I358" s="17">
        <f>SUM(B358*H335)</f>
        <v>0</v>
      </c>
      <c r="J358" s="165"/>
      <c r="K358" s="166"/>
      <c r="L358" s="16"/>
    </row>
    <row r="359" spans="1:12" ht="15.75" customHeight="1" thickBot="1" x14ac:dyDescent="0.3">
      <c r="A359" s="15">
        <f t="shared" si="10"/>
        <v>0</v>
      </c>
      <c r="B359" s="16">
        <f t="shared" si="10"/>
        <v>0</v>
      </c>
      <c r="C359" s="16">
        <f t="shared" si="10"/>
        <v>0</v>
      </c>
      <c r="D359" s="163">
        <f>SUM(B359*C335)</f>
        <v>0</v>
      </c>
      <c r="E359" s="164"/>
      <c r="F359" s="165"/>
      <c r="G359" s="166"/>
      <c r="H359" s="16">
        <f t="shared" si="9"/>
        <v>0</v>
      </c>
      <c r="I359" s="17">
        <f>SUM(B359*H335)</f>
        <v>0</v>
      </c>
      <c r="J359" s="165"/>
      <c r="K359" s="166"/>
      <c r="L359" s="16"/>
    </row>
    <row r="360" spans="1:12" ht="15.75" customHeight="1" thickBot="1" x14ac:dyDescent="0.3">
      <c r="A360" s="15">
        <f t="shared" si="10"/>
        <v>0</v>
      </c>
      <c r="B360" s="16">
        <f t="shared" si="10"/>
        <v>0</v>
      </c>
      <c r="C360" s="16">
        <f t="shared" si="10"/>
        <v>0</v>
      </c>
      <c r="D360" s="163">
        <f>SUM(B360*C335)</f>
        <v>0</v>
      </c>
      <c r="E360" s="164"/>
      <c r="F360" s="165"/>
      <c r="G360" s="166"/>
      <c r="H360" s="16">
        <f t="shared" si="9"/>
        <v>0</v>
      </c>
      <c r="I360" s="17">
        <f>SUM(B360*H335)</f>
        <v>0</v>
      </c>
      <c r="J360" s="165"/>
      <c r="K360" s="166"/>
      <c r="L360" s="16"/>
    </row>
    <row r="361" spans="1:12" ht="15.75" customHeight="1" thickBot="1" x14ac:dyDescent="0.3">
      <c r="A361" s="15">
        <f t="shared" si="10"/>
        <v>0</v>
      </c>
      <c r="B361" s="16">
        <f t="shared" si="10"/>
        <v>0</v>
      </c>
      <c r="C361" s="16">
        <f t="shared" si="10"/>
        <v>0</v>
      </c>
      <c r="D361" s="163">
        <f>SUM(B361*C335)</f>
        <v>0</v>
      </c>
      <c r="E361" s="164"/>
      <c r="F361" s="165"/>
      <c r="G361" s="166"/>
      <c r="H361" s="16">
        <f t="shared" si="9"/>
        <v>0</v>
      </c>
      <c r="I361" s="17">
        <f>SUM(B361*H335)</f>
        <v>0</v>
      </c>
      <c r="J361" s="165"/>
      <c r="K361" s="166"/>
      <c r="L361" s="16"/>
    </row>
    <row r="362" spans="1:12" ht="15.75" customHeight="1" thickBot="1" x14ac:dyDescent="0.3">
      <c r="A362" s="15">
        <f t="shared" si="10"/>
        <v>0</v>
      </c>
      <c r="B362" s="16">
        <f t="shared" si="10"/>
        <v>0</v>
      </c>
      <c r="C362" s="16">
        <f t="shared" si="10"/>
        <v>0</v>
      </c>
      <c r="D362" s="163">
        <f>SUM(B362*C335)</f>
        <v>0</v>
      </c>
      <c r="E362" s="164"/>
      <c r="F362" s="165"/>
      <c r="G362" s="166"/>
      <c r="H362" s="16">
        <f t="shared" si="9"/>
        <v>0</v>
      </c>
      <c r="I362" s="17">
        <f>SUM(B362*H335)</f>
        <v>0</v>
      </c>
      <c r="J362" s="165"/>
      <c r="K362" s="166"/>
      <c r="L362" s="16"/>
    </row>
    <row r="363" spans="1:12" ht="15.75" customHeight="1" thickBot="1" x14ac:dyDescent="0.3">
      <c r="A363" s="15">
        <f t="shared" si="10"/>
        <v>0</v>
      </c>
      <c r="B363" s="16">
        <f t="shared" si="10"/>
        <v>0</v>
      </c>
      <c r="C363" s="16">
        <f t="shared" si="10"/>
        <v>0</v>
      </c>
      <c r="D363" s="163">
        <f>SUM(B363*C335)</f>
        <v>0</v>
      </c>
      <c r="E363" s="164"/>
      <c r="F363" s="165"/>
      <c r="G363" s="166"/>
      <c r="H363" s="16">
        <f t="shared" si="9"/>
        <v>0</v>
      </c>
      <c r="I363" s="17">
        <f>SUM(B363*H335)</f>
        <v>0</v>
      </c>
      <c r="J363" s="165"/>
      <c r="K363" s="166"/>
      <c r="L363" s="16"/>
    </row>
    <row r="364" spans="1:12" ht="15.75" customHeight="1" thickBot="1" x14ac:dyDescent="0.3">
      <c r="A364" s="15">
        <f t="shared" si="10"/>
        <v>0</v>
      </c>
      <c r="B364" s="16">
        <f t="shared" si="10"/>
        <v>0</v>
      </c>
      <c r="C364" s="16">
        <f t="shared" si="10"/>
        <v>0</v>
      </c>
      <c r="D364" s="163">
        <f>SUM(B364*C335)</f>
        <v>0</v>
      </c>
      <c r="E364" s="164"/>
      <c r="F364" s="165"/>
      <c r="G364" s="166"/>
      <c r="H364" s="16">
        <f t="shared" si="9"/>
        <v>0</v>
      </c>
      <c r="I364" s="17">
        <f>SUM(B364*H335)</f>
        <v>0</v>
      </c>
      <c r="J364" s="165"/>
      <c r="K364" s="166"/>
      <c r="L364" s="16"/>
    </row>
    <row r="365" spans="1:12" ht="15.75" customHeight="1" thickBot="1" x14ac:dyDescent="0.3">
      <c r="A365" s="15">
        <f t="shared" si="10"/>
        <v>0</v>
      </c>
      <c r="B365" s="16">
        <f t="shared" si="10"/>
        <v>0</v>
      </c>
      <c r="C365" s="16">
        <f t="shared" si="10"/>
        <v>0</v>
      </c>
      <c r="D365" s="163">
        <f>SUM(B365*C335)</f>
        <v>0</v>
      </c>
      <c r="E365" s="164"/>
      <c r="F365" s="165"/>
      <c r="G365" s="166"/>
      <c r="H365" s="16">
        <f t="shared" si="9"/>
        <v>0</v>
      </c>
      <c r="I365" s="17">
        <f>SUM(B365*H335)</f>
        <v>0</v>
      </c>
      <c r="J365" s="165"/>
      <c r="K365" s="166"/>
      <c r="L365" s="16"/>
    </row>
    <row r="366" spans="1:12" ht="15.75" customHeight="1" thickBot="1" x14ac:dyDescent="0.3">
      <c r="A366" s="15">
        <f t="shared" si="10"/>
        <v>0</v>
      </c>
      <c r="B366" s="16">
        <f t="shared" si="10"/>
        <v>0</v>
      </c>
      <c r="C366" s="16">
        <f t="shared" si="10"/>
        <v>0</v>
      </c>
      <c r="D366" s="163">
        <f>SUM(B366*C335)</f>
        <v>0</v>
      </c>
      <c r="E366" s="164"/>
      <c r="F366" s="165"/>
      <c r="G366" s="166"/>
      <c r="H366" s="16">
        <f t="shared" si="9"/>
        <v>0</v>
      </c>
      <c r="I366" s="17">
        <f>SUM(B366*H335)</f>
        <v>0</v>
      </c>
      <c r="J366" s="165"/>
      <c r="K366" s="166"/>
      <c r="L366" s="16"/>
    </row>
    <row r="367" spans="1:12" ht="15.75" customHeight="1" thickBot="1" x14ac:dyDescent="0.3">
      <c r="A367" s="15">
        <f t="shared" si="10"/>
        <v>0</v>
      </c>
      <c r="B367" s="16">
        <f t="shared" si="10"/>
        <v>0</v>
      </c>
      <c r="C367" s="16">
        <f t="shared" si="10"/>
        <v>0</v>
      </c>
      <c r="D367" s="163">
        <f>SUM(B367*C335)</f>
        <v>0</v>
      </c>
      <c r="E367" s="164"/>
      <c r="F367" s="165"/>
      <c r="G367" s="166"/>
      <c r="H367" s="16">
        <f t="shared" si="9"/>
        <v>0</v>
      </c>
      <c r="I367" s="17">
        <f>SUM(B367*H335)</f>
        <v>0</v>
      </c>
      <c r="J367" s="165"/>
      <c r="K367" s="166"/>
      <c r="L367" s="16"/>
    </row>
    <row r="368" spans="1:12" ht="15.75" customHeight="1" thickBot="1" x14ac:dyDescent="0.3">
      <c r="A368" s="15">
        <f t="shared" si="10"/>
        <v>0</v>
      </c>
      <c r="B368" s="16">
        <f t="shared" si="10"/>
        <v>0</v>
      </c>
      <c r="C368" s="16">
        <f t="shared" si="10"/>
        <v>0</v>
      </c>
      <c r="D368" s="163">
        <f>SUM(B368*C335)</f>
        <v>0</v>
      </c>
      <c r="E368" s="164"/>
      <c r="F368" s="165"/>
      <c r="G368" s="166"/>
      <c r="H368" s="16">
        <f t="shared" si="9"/>
        <v>0</v>
      </c>
      <c r="I368" s="17">
        <f>SUM(B368*H335)</f>
        <v>0</v>
      </c>
      <c r="J368" s="165"/>
      <c r="K368" s="166"/>
      <c r="L368" s="16"/>
    </row>
    <row r="369" spans="1:12" ht="15.75" customHeight="1" thickBot="1" x14ac:dyDescent="0.3">
      <c r="A369" s="15">
        <f t="shared" ref="A369:C370" si="11">A126</f>
        <v>0</v>
      </c>
      <c r="B369" s="16">
        <f t="shared" si="11"/>
        <v>0</v>
      </c>
      <c r="C369" s="16">
        <f t="shared" si="11"/>
        <v>0</v>
      </c>
      <c r="D369" s="163">
        <f>SUM(B369*C335)</f>
        <v>0</v>
      </c>
      <c r="E369" s="164"/>
      <c r="F369" s="165"/>
      <c r="G369" s="166"/>
      <c r="H369" s="16">
        <f t="shared" si="9"/>
        <v>0</v>
      </c>
      <c r="I369" s="17">
        <f>SUM(B369*H335)</f>
        <v>0</v>
      </c>
      <c r="J369" s="165"/>
      <c r="K369" s="166"/>
      <c r="L369" s="16"/>
    </row>
    <row r="370" spans="1:12" ht="15.75" customHeight="1" thickBot="1" x14ac:dyDescent="0.3">
      <c r="A370" s="15">
        <f t="shared" si="11"/>
        <v>0</v>
      </c>
      <c r="B370" s="16">
        <f t="shared" si="11"/>
        <v>0</v>
      </c>
      <c r="C370" s="16">
        <f t="shared" si="11"/>
        <v>0</v>
      </c>
      <c r="D370" s="163">
        <f>SUM(B370*C335)</f>
        <v>0</v>
      </c>
      <c r="E370" s="164"/>
      <c r="F370" s="165"/>
      <c r="G370" s="166"/>
      <c r="H370" s="16">
        <f t="shared" si="9"/>
        <v>0</v>
      </c>
      <c r="I370" s="17">
        <f>SUM(B370*H335)</f>
        <v>0</v>
      </c>
      <c r="J370" s="165"/>
      <c r="K370" s="166"/>
      <c r="L370" s="16"/>
    </row>
    <row r="371" spans="1:12" ht="15.75" thickBot="1" x14ac:dyDescent="0.3">
      <c r="A371" s="2" t="s">
        <v>85</v>
      </c>
      <c r="B371" s="64" t="s">
        <v>86</v>
      </c>
      <c r="C371" s="65"/>
      <c r="D371" s="65"/>
      <c r="E371" s="65"/>
      <c r="F371" s="65"/>
      <c r="G371" s="65"/>
      <c r="H371" s="66"/>
      <c r="I371" s="64" t="s">
        <v>87</v>
      </c>
      <c r="J371" s="65"/>
      <c r="K371" s="65"/>
      <c r="L371" s="66"/>
    </row>
    <row r="372" spans="1:12" ht="15.75" thickBot="1" x14ac:dyDescent="0.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</row>
    <row r="373" spans="1:12" ht="15" customHeight="1" x14ac:dyDescent="0.25">
      <c r="A373" s="58" t="s">
        <v>88</v>
      </c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60"/>
    </row>
    <row r="374" spans="1:12" ht="15.75" customHeight="1" thickBot="1" x14ac:dyDescent="0.3">
      <c r="A374" s="61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3"/>
    </row>
    <row r="375" spans="1:12" ht="15.75" thickBot="1" x14ac:dyDescent="0.3">
      <c r="A375" s="1" t="str">
        <f t="shared" ref="A375:B377" si="12">A6</f>
        <v xml:space="preserve">CLIENTE: SENAC </v>
      </c>
      <c r="B375" s="64" t="str">
        <f t="shared" si="12"/>
        <v>REPRESENTANTE: ANTONIO</v>
      </c>
      <c r="C375" s="65"/>
      <c r="D375" s="65"/>
      <c r="E375" s="65"/>
      <c r="F375" s="66"/>
      <c r="G375" s="64" t="str">
        <f>G6</f>
        <v>PEDIDO: 16/26</v>
      </c>
      <c r="H375" s="65"/>
      <c r="I375" s="66"/>
      <c r="J375" s="25" t="s">
        <v>2</v>
      </c>
      <c r="K375" s="27"/>
      <c r="L375" s="26"/>
    </row>
    <row r="376" spans="1:12" ht="15.75" thickBot="1" x14ac:dyDescent="0.3">
      <c r="A376" s="2" t="str">
        <f t="shared" si="12"/>
        <v xml:space="preserve">REF. CLIENTE:   </v>
      </c>
      <c r="B376" s="64" t="str">
        <f t="shared" si="12"/>
        <v>REF. SAC LS  -  05</v>
      </c>
      <c r="C376" s="65"/>
      <c r="D376" s="65"/>
      <c r="E376" s="65"/>
      <c r="F376" s="66"/>
      <c r="G376" s="64" t="str">
        <f>G7</f>
        <v>COLECAO : VERÃO /2026</v>
      </c>
      <c r="H376" s="65"/>
      <c r="I376" s="66"/>
      <c r="J376" s="58">
        <f>J7</f>
        <v>0</v>
      </c>
      <c r="K376" s="59"/>
      <c r="L376" s="60"/>
    </row>
    <row r="377" spans="1:12" ht="15.75" thickBot="1" x14ac:dyDescent="0.3">
      <c r="A377" s="2" t="str">
        <f t="shared" si="12"/>
        <v xml:space="preserve">REF:  ls :  KIT SENAC - 4 PEÇAS </v>
      </c>
      <c r="B377" s="64" t="str">
        <f t="shared" si="12"/>
        <v xml:space="preserve">MODELO: ORGANIZADOR - NECESSAIRE </v>
      </c>
      <c r="C377" s="65"/>
      <c r="D377" s="65"/>
      <c r="E377" s="65"/>
      <c r="F377" s="65"/>
      <c r="G377" s="65"/>
      <c r="H377" s="65"/>
      <c r="I377" s="66"/>
      <c r="J377" s="61"/>
      <c r="K377" s="62"/>
      <c r="L377" s="63"/>
    </row>
    <row r="378" spans="1:12" ht="15" customHeight="1" thickBot="1" x14ac:dyDescent="0.3">
      <c r="A378" s="3" t="s">
        <v>67</v>
      </c>
      <c r="B378" s="25" t="s">
        <v>89</v>
      </c>
      <c r="C378" s="27"/>
      <c r="D378" s="26"/>
      <c r="E378" s="259" t="s">
        <v>90</v>
      </c>
      <c r="F378" s="260"/>
      <c r="G378" s="260"/>
      <c r="H378" s="261"/>
      <c r="I378" s="25" t="s">
        <v>91</v>
      </c>
      <c r="J378" s="26"/>
      <c r="K378" s="25" t="s">
        <v>92</v>
      </c>
      <c r="L378" s="26"/>
    </row>
    <row r="379" spans="1:12" x14ac:dyDescent="0.25">
      <c r="A379" s="212" t="s">
        <v>93</v>
      </c>
      <c r="B379" s="125" t="s">
        <v>94</v>
      </c>
      <c r="C379" s="126"/>
      <c r="D379" s="127"/>
      <c r="E379" s="125" t="s">
        <v>94</v>
      </c>
      <c r="F379" s="126"/>
      <c r="G379" s="126"/>
      <c r="H379" s="127"/>
      <c r="I379" s="37" t="s">
        <v>95</v>
      </c>
      <c r="J379" s="39"/>
      <c r="K379" s="37" t="s">
        <v>95</v>
      </c>
      <c r="L379" s="39"/>
    </row>
    <row r="380" spans="1:12" ht="15.75" thickBot="1" x14ac:dyDescent="0.3">
      <c r="A380" s="213"/>
      <c r="B380" s="128"/>
      <c r="C380" s="129"/>
      <c r="D380" s="130"/>
      <c r="E380" s="128"/>
      <c r="F380" s="129"/>
      <c r="G380" s="129"/>
      <c r="H380" s="130"/>
      <c r="I380" s="40"/>
      <c r="J380" s="42"/>
      <c r="K380" s="40"/>
      <c r="L380" s="42"/>
    </row>
    <row r="381" spans="1:12" x14ac:dyDescent="0.25">
      <c r="A381" s="212" t="s">
        <v>96</v>
      </c>
      <c r="B381" s="125" t="s">
        <v>94</v>
      </c>
      <c r="C381" s="126"/>
      <c r="D381" s="127"/>
      <c r="E381" s="125" t="s">
        <v>94</v>
      </c>
      <c r="F381" s="126"/>
      <c r="G381" s="126"/>
      <c r="H381" s="127"/>
      <c r="I381" s="37" t="s">
        <v>95</v>
      </c>
      <c r="J381" s="39"/>
      <c r="K381" s="37" t="s">
        <v>95</v>
      </c>
      <c r="L381" s="39"/>
    </row>
    <row r="382" spans="1:12" ht="15.75" thickBot="1" x14ac:dyDescent="0.3">
      <c r="A382" s="213"/>
      <c r="B382" s="128"/>
      <c r="C382" s="129"/>
      <c r="D382" s="130"/>
      <c r="E382" s="128"/>
      <c r="F382" s="129"/>
      <c r="G382" s="129"/>
      <c r="H382" s="130"/>
      <c r="I382" s="40"/>
      <c r="J382" s="42"/>
      <c r="K382" s="40"/>
      <c r="L382" s="42"/>
    </row>
    <row r="383" spans="1:12" ht="15.75" thickBot="1" x14ac:dyDescent="0.3">
      <c r="A383" s="25" t="s">
        <v>97</v>
      </c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6"/>
    </row>
    <row r="384" spans="1:12" x14ac:dyDescent="0.25">
      <c r="A384" s="167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9"/>
    </row>
    <row r="385" spans="1:12" ht="15.75" thickBot="1" x14ac:dyDescent="0.3">
      <c r="A385" s="180"/>
      <c r="B385" s="211"/>
      <c r="C385" s="211"/>
      <c r="D385" s="211"/>
      <c r="E385" s="211"/>
      <c r="F385" s="211"/>
      <c r="G385" s="211"/>
      <c r="H385" s="211"/>
      <c r="I385" s="211"/>
      <c r="J385" s="211"/>
      <c r="K385" s="211"/>
      <c r="L385" s="181"/>
    </row>
    <row r="386" spans="1:12" x14ac:dyDescent="0.25">
      <c r="A386" s="167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9"/>
    </row>
    <row r="387" spans="1:12" ht="6.75" customHeight="1" thickBot="1" x14ac:dyDescent="0.3">
      <c r="A387" s="180"/>
      <c r="B387" s="211"/>
      <c r="C387" s="211"/>
      <c r="D387" s="211"/>
      <c r="E387" s="211"/>
      <c r="F387" s="211"/>
      <c r="G387" s="211"/>
      <c r="H387" s="211"/>
      <c r="I387" s="211"/>
      <c r="J387" s="211"/>
      <c r="K387" s="211"/>
      <c r="L387" s="181"/>
    </row>
    <row r="388" spans="1:12" ht="15.75" thickBot="1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</row>
    <row r="389" spans="1:12" x14ac:dyDescent="0.25">
      <c r="A389" s="58" t="s">
        <v>98</v>
      </c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60"/>
    </row>
    <row r="390" spans="1:12" ht="15.75" thickBot="1" x14ac:dyDescent="0.3">
      <c r="A390" s="61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3"/>
    </row>
    <row r="391" spans="1:12" ht="15.75" thickBot="1" x14ac:dyDescent="0.3">
      <c r="A391" s="1" t="str">
        <f t="shared" ref="A391:B393" si="13">A6</f>
        <v xml:space="preserve">CLIENTE: SENAC </v>
      </c>
      <c r="B391" s="64" t="str">
        <f t="shared" si="13"/>
        <v>REPRESENTANTE: ANTONIO</v>
      </c>
      <c r="C391" s="65"/>
      <c r="D391" s="65"/>
      <c r="E391" s="65"/>
      <c r="F391" s="66"/>
      <c r="G391" s="64" t="str">
        <f>G6</f>
        <v>PEDIDO: 16/26</v>
      </c>
      <c r="H391" s="65"/>
      <c r="I391" s="66"/>
      <c r="J391" s="25" t="s">
        <v>2</v>
      </c>
      <c r="K391" s="27"/>
      <c r="L391" s="26"/>
    </row>
    <row r="392" spans="1:12" ht="15.75" thickBot="1" x14ac:dyDescent="0.3">
      <c r="A392" s="2" t="str">
        <f t="shared" si="13"/>
        <v xml:space="preserve">REF. CLIENTE:   </v>
      </c>
      <c r="B392" s="64" t="str">
        <f t="shared" si="13"/>
        <v>REF. SAC LS  -  05</v>
      </c>
      <c r="C392" s="65"/>
      <c r="D392" s="65"/>
      <c r="E392" s="65"/>
      <c r="F392" s="66"/>
      <c r="G392" s="64" t="str">
        <f>G7</f>
        <v>COLECAO : VERÃO /2026</v>
      </c>
      <c r="H392" s="65"/>
      <c r="I392" s="66"/>
      <c r="J392" s="58">
        <f>J7</f>
        <v>0</v>
      </c>
      <c r="K392" s="59"/>
      <c r="L392" s="60"/>
    </row>
    <row r="393" spans="1:12" ht="15.75" thickBot="1" x14ac:dyDescent="0.3">
      <c r="A393" s="2" t="str">
        <f t="shared" si="13"/>
        <v xml:space="preserve">REF:  ls :  KIT SENAC - 4 PEÇAS </v>
      </c>
      <c r="B393" s="64" t="str">
        <f t="shared" si="13"/>
        <v xml:space="preserve">MODELO: ORGANIZADOR - NECESSAIRE </v>
      </c>
      <c r="C393" s="65"/>
      <c r="D393" s="65"/>
      <c r="E393" s="65"/>
      <c r="F393" s="65"/>
      <c r="G393" s="65"/>
      <c r="H393" s="65"/>
      <c r="I393" s="66"/>
      <c r="J393" s="61"/>
      <c r="K393" s="62"/>
      <c r="L393" s="63"/>
    </row>
    <row r="394" spans="1:12" ht="15" customHeight="1" thickBot="1" x14ac:dyDescent="0.3">
      <c r="A394" s="3" t="s">
        <v>67</v>
      </c>
      <c r="B394" s="25" t="s">
        <v>99</v>
      </c>
      <c r="C394" s="27"/>
      <c r="D394" s="26"/>
      <c r="E394" s="25" t="s">
        <v>100</v>
      </c>
      <c r="F394" s="27"/>
      <c r="G394" s="27"/>
      <c r="H394" s="26"/>
      <c r="I394" s="98" t="s">
        <v>91</v>
      </c>
      <c r="J394" s="99"/>
      <c r="K394" s="25" t="s">
        <v>92</v>
      </c>
      <c r="L394" s="26"/>
    </row>
    <row r="395" spans="1:12" ht="15" customHeight="1" x14ac:dyDescent="0.25">
      <c r="A395" s="262" t="s">
        <v>101</v>
      </c>
      <c r="B395" s="125" t="s">
        <v>94</v>
      </c>
      <c r="C395" s="126"/>
      <c r="D395" s="127"/>
      <c r="E395" s="125" t="s">
        <v>94</v>
      </c>
      <c r="F395" s="126"/>
      <c r="G395" s="126"/>
      <c r="H395" s="127"/>
      <c r="I395" s="37" t="s">
        <v>95</v>
      </c>
      <c r="J395" s="39"/>
      <c r="K395" s="37" t="s">
        <v>95</v>
      </c>
      <c r="L395" s="39"/>
    </row>
    <row r="396" spans="1:12" ht="15.75" customHeight="1" thickBot="1" x14ac:dyDescent="0.3">
      <c r="A396" s="263"/>
      <c r="B396" s="128"/>
      <c r="C396" s="129"/>
      <c r="D396" s="130"/>
      <c r="E396" s="128"/>
      <c r="F396" s="129"/>
      <c r="G396" s="129"/>
      <c r="H396" s="130"/>
      <c r="I396" s="40"/>
      <c r="J396" s="42"/>
      <c r="K396" s="40"/>
      <c r="L396" s="42"/>
    </row>
    <row r="397" spans="1:12" ht="15" customHeight="1" x14ac:dyDescent="0.25">
      <c r="A397" s="263"/>
      <c r="B397" s="125" t="s">
        <v>102</v>
      </c>
      <c r="C397" s="126"/>
      <c r="D397" s="127"/>
      <c r="E397" s="125" t="s">
        <v>103</v>
      </c>
      <c r="F397" s="126"/>
      <c r="G397" s="126"/>
      <c r="H397" s="127"/>
      <c r="I397" s="37" t="s">
        <v>95</v>
      </c>
      <c r="J397" s="39"/>
      <c r="K397" s="37" t="s">
        <v>95</v>
      </c>
      <c r="L397" s="39"/>
    </row>
    <row r="398" spans="1:12" ht="15.75" customHeight="1" thickBot="1" x14ac:dyDescent="0.3">
      <c r="A398" s="264"/>
      <c r="B398" s="128"/>
      <c r="C398" s="129"/>
      <c r="D398" s="130"/>
      <c r="E398" s="128"/>
      <c r="F398" s="129"/>
      <c r="G398" s="129"/>
      <c r="H398" s="130"/>
      <c r="I398" s="40"/>
      <c r="J398" s="42"/>
      <c r="K398" s="40"/>
      <c r="L398" s="42"/>
    </row>
    <row r="399" spans="1:12" x14ac:dyDescent="0.25">
      <c r="A399" s="167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9"/>
    </row>
    <row r="400" spans="1:12" ht="15.75" thickBot="1" x14ac:dyDescent="0.3">
      <c r="A400" s="180"/>
      <c r="B400" s="211"/>
      <c r="C400" s="211"/>
      <c r="D400" s="211"/>
      <c r="E400" s="211"/>
      <c r="F400" s="211"/>
      <c r="G400" s="211"/>
      <c r="H400" s="211"/>
      <c r="I400" s="211"/>
      <c r="J400" s="211"/>
      <c r="K400" s="211"/>
      <c r="L400" s="181"/>
    </row>
    <row r="401" spans="1:12" x14ac:dyDescent="0.25">
      <c r="A401" s="167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9"/>
    </row>
    <row r="402" spans="1:12" ht="15.75" thickBot="1" x14ac:dyDescent="0.3">
      <c r="A402" s="180"/>
      <c r="B402" s="211"/>
      <c r="C402" s="211"/>
      <c r="D402" s="211"/>
      <c r="E402" s="211"/>
      <c r="F402" s="211"/>
      <c r="G402" s="211"/>
      <c r="H402" s="211"/>
      <c r="I402" s="211"/>
      <c r="J402" s="211"/>
      <c r="K402" s="211"/>
      <c r="L402" s="181"/>
    </row>
  </sheetData>
  <mergeCells count="846"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75:B176"/>
    <mergeCell ref="C175:C176"/>
    <mergeCell ref="D175:E176"/>
    <mergeCell ref="F175:J176"/>
    <mergeCell ref="K175:K176"/>
    <mergeCell ref="L175:L176"/>
    <mergeCell ref="A173:B174"/>
    <mergeCell ref="C173:C174"/>
    <mergeCell ref="D173:E174"/>
    <mergeCell ref="F173:J174"/>
    <mergeCell ref="K173:K174"/>
    <mergeCell ref="L173:L174"/>
    <mergeCell ref="A171:B172"/>
    <mergeCell ref="C171:C172"/>
    <mergeCell ref="D171:E172"/>
    <mergeCell ref="F171:J172"/>
    <mergeCell ref="K171:K172"/>
    <mergeCell ref="L171:L172"/>
    <mergeCell ref="B168:F168"/>
    <mergeCell ref="G168:I168"/>
    <mergeCell ref="J168:L169"/>
    <mergeCell ref="B169:I169"/>
    <mergeCell ref="A170:B170"/>
    <mergeCell ref="D170:E170"/>
    <mergeCell ref="F170:J170"/>
    <mergeCell ref="A148:L161"/>
    <mergeCell ref="A162:L164"/>
    <mergeCell ref="A165:L166"/>
    <mergeCell ref="B167:F167"/>
    <mergeCell ref="G167:I167"/>
    <mergeCell ref="J167:L167"/>
    <mergeCell ref="D146:E146"/>
    <mergeCell ref="F146:G146"/>
    <mergeCell ref="J146:K146"/>
    <mergeCell ref="D147:E147"/>
    <mergeCell ref="F147:G147"/>
    <mergeCell ref="J147:K147"/>
    <mergeCell ref="D144:E144"/>
    <mergeCell ref="F144:G144"/>
    <mergeCell ref="J144:K144"/>
    <mergeCell ref="D145:E145"/>
    <mergeCell ref="F145:G145"/>
    <mergeCell ref="J145:K145"/>
    <mergeCell ref="D142:E142"/>
    <mergeCell ref="F142:G142"/>
    <mergeCell ref="J142:K142"/>
    <mergeCell ref="D143:E143"/>
    <mergeCell ref="F143:G143"/>
    <mergeCell ref="J143:K143"/>
    <mergeCell ref="D140:E140"/>
    <mergeCell ref="F140:G140"/>
    <mergeCell ref="J140:K140"/>
    <mergeCell ref="D141:E141"/>
    <mergeCell ref="F141:G141"/>
    <mergeCell ref="J141:K141"/>
    <mergeCell ref="D138:E138"/>
    <mergeCell ref="F138:G138"/>
    <mergeCell ref="J138:K138"/>
    <mergeCell ref="D139:E139"/>
    <mergeCell ref="F139:G139"/>
    <mergeCell ref="J139:K139"/>
    <mergeCell ref="D136:E136"/>
    <mergeCell ref="F136:G136"/>
    <mergeCell ref="J136:K136"/>
    <mergeCell ref="D137:E137"/>
    <mergeCell ref="F137:G137"/>
    <mergeCell ref="J137:K137"/>
    <mergeCell ref="D134:E134"/>
    <mergeCell ref="F134:G134"/>
    <mergeCell ref="J134:K134"/>
    <mergeCell ref="D135:E135"/>
    <mergeCell ref="F135:G135"/>
    <mergeCell ref="J135:K135"/>
    <mergeCell ref="D132:E132"/>
    <mergeCell ref="F132:G132"/>
    <mergeCell ref="J132:K132"/>
    <mergeCell ref="D133:E133"/>
    <mergeCell ref="F133:G133"/>
    <mergeCell ref="J133:K133"/>
    <mergeCell ref="D130:E130"/>
    <mergeCell ref="F130:G130"/>
    <mergeCell ref="J130:K130"/>
    <mergeCell ref="D131:E131"/>
    <mergeCell ref="F131:G131"/>
    <mergeCell ref="J131:K131"/>
    <mergeCell ref="D128:E128"/>
    <mergeCell ref="F128:G128"/>
    <mergeCell ref="J128:K128"/>
    <mergeCell ref="D129:E129"/>
    <mergeCell ref="F129:G129"/>
    <mergeCell ref="J129:K129"/>
    <mergeCell ref="D126:E126"/>
    <mergeCell ref="F126:G126"/>
    <mergeCell ref="J126:K126"/>
    <mergeCell ref="D127:E127"/>
    <mergeCell ref="F127:G127"/>
    <mergeCell ref="J127:K127"/>
    <mergeCell ref="D124:E124"/>
    <mergeCell ref="F124:G124"/>
    <mergeCell ref="J124:K124"/>
    <mergeCell ref="D125:E125"/>
    <mergeCell ref="F125:G125"/>
    <mergeCell ref="J125:K125"/>
    <mergeCell ref="D122:E122"/>
    <mergeCell ref="F122:G122"/>
    <mergeCell ref="J122:K122"/>
    <mergeCell ref="D123:E123"/>
    <mergeCell ref="F123:G123"/>
    <mergeCell ref="J123:K123"/>
    <mergeCell ref="D120:E120"/>
    <mergeCell ref="F120:G120"/>
    <mergeCell ref="J120:K120"/>
    <mergeCell ref="D121:E121"/>
    <mergeCell ref="F121:G121"/>
    <mergeCell ref="J121:K121"/>
    <mergeCell ref="D118:E118"/>
    <mergeCell ref="F118:G118"/>
    <mergeCell ref="J118:K118"/>
    <mergeCell ref="D119:E119"/>
    <mergeCell ref="F119:G119"/>
    <mergeCell ref="J119:K119"/>
    <mergeCell ref="D116:E116"/>
    <mergeCell ref="F116:G116"/>
    <mergeCell ref="J116:K116"/>
    <mergeCell ref="D117:E117"/>
    <mergeCell ref="F117:G117"/>
    <mergeCell ref="J117:K117"/>
    <mergeCell ref="D114:E114"/>
    <mergeCell ref="F114:G114"/>
    <mergeCell ref="J114:K114"/>
    <mergeCell ref="D115:E115"/>
    <mergeCell ref="F115:G115"/>
    <mergeCell ref="J115:K115"/>
    <mergeCell ref="D112:E112"/>
    <mergeCell ref="F112:G112"/>
    <mergeCell ref="J112:K112"/>
    <mergeCell ref="D113:E113"/>
    <mergeCell ref="F113:G113"/>
    <mergeCell ref="J113:K113"/>
    <mergeCell ref="D110:E110"/>
    <mergeCell ref="F110:G110"/>
    <mergeCell ref="J110:K110"/>
    <mergeCell ref="D111:E111"/>
    <mergeCell ref="F111:G111"/>
    <mergeCell ref="J111:K111"/>
    <mergeCell ref="D108:E108"/>
    <mergeCell ref="F108:G108"/>
    <mergeCell ref="J108:K108"/>
    <mergeCell ref="D109:E109"/>
    <mergeCell ref="F109:G109"/>
    <mergeCell ref="J109:K109"/>
    <mergeCell ref="D106:E106"/>
    <mergeCell ref="F106:G106"/>
    <mergeCell ref="J106:K106"/>
    <mergeCell ref="D107:E107"/>
    <mergeCell ref="F107:G107"/>
    <mergeCell ref="J107:K107"/>
    <mergeCell ref="F103:G103"/>
    <mergeCell ref="J103:K103"/>
    <mergeCell ref="D104:E104"/>
    <mergeCell ref="F104:G104"/>
    <mergeCell ref="J104:K104"/>
    <mergeCell ref="D105:E105"/>
    <mergeCell ref="F105:G105"/>
    <mergeCell ref="J105:K105"/>
    <mergeCell ref="D101:E101"/>
    <mergeCell ref="F101:G101"/>
    <mergeCell ref="J101:K101"/>
    <mergeCell ref="D102:E102"/>
    <mergeCell ref="F102:G102"/>
    <mergeCell ref="J102:K102"/>
    <mergeCell ref="D103:E103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</mergeCells>
  <phoneticPr fontId="23" type="noConversion"/>
  <pageMargins left="0.25" right="0.25" top="0.75" bottom="0.75" header="0.3" footer="0.3"/>
  <pageSetup paperSize="9" scale="6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KIT SENAC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luna</dc:creator>
  <cp:lastModifiedBy>Antônio</cp:lastModifiedBy>
  <cp:lastPrinted>2026-06-08T23:34:51Z</cp:lastPrinted>
  <dcterms:created xsi:type="dcterms:W3CDTF">2019-11-15T01:01:41Z</dcterms:created>
  <dcterms:modified xsi:type="dcterms:W3CDTF">2026-06-08T23:35:34Z</dcterms:modified>
</cp:coreProperties>
</file>